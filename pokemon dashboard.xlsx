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312252E-8B4F-42B6-B1D5-943AC52259C1}" xr6:coauthVersionLast="47" xr6:coauthVersionMax="47" xr10:uidLastSave="{00000000-0000-0000-0000-000000000000}"/>
  <bookViews>
    <workbookView xWindow="-108" yWindow="-108" windowWidth="23256" windowHeight="12456" activeTab="2" xr2:uid="{0A105DD4-CED1-4A6C-87CE-9D3A531B02B0}"/>
  </bookViews>
  <sheets>
    <sheet name="count" sheetId="6" r:id="rId1"/>
    <sheet name="average" sheetId="7" r:id="rId2"/>
    <sheet name="Dashb" sheetId="8" r:id="rId3"/>
    <sheet name="pokemon" sheetId="1" r:id="rId4"/>
  </sheets>
  <definedNames>
    <definedName name="Slicer_Generation">#N/A</definedName>
    <definedName name="Slicer_Legendary_normal">#N/A</definedName>
    <definedName name="Slicer_Type_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 i="1" l="1"/>
  <c r="P11" i="1"/>
  <c r="P10" i="1"/>
  <c r="P9" i="1"/>
</calcChain>
</file>

<file path=xl/sharedStrings.xml><?xml version="1.0" encoding="utf-8"?>
<sst xmlns="http://schemas.openxmlformats.org/spreadsheetml/2006/main" count="1742" uniqueCount="466">
  <si>
    <t>s_no</t>
  </si>
  <si>
    <t>Name</t>
  </si>
  <si>
    <t>Type_1</t>
  </si>
  <si>
    <t>Type_2</t>
  </si>
  <si>
    <t>Total</t>
  </si>
  <si>
    <t>HP</t>
  </si>
  <si>
    <t>Attack</t>
  </si>
  <si>
    <t>Defense</t>
  </si>
  <si>
    <t>Sp_Atk</t>
  </si>
  <si>
    <t>Sp_Def</t>
  </si>
  <si>
    <t>Speed</t>
  </si>
  <si>
    <t>Generation</t>
  </si>
  <si>
    <t>Bulbasaur</t>
  </si>
  <si>
    <t>Grass</t>
  </si>
  <si>
    <t>Poison</t>
  </si>
  <si>
    <t>Ivysaur</t>
  </si>
  <si>
    <t>Venusaur</t>
  </si>
  <si>
    <t>VenusaurMega Venusaur</t>
  </si>
  <si>
    <t>Charizard</t>
  </si>
  <si>
    <t>Fire</t>
  </si>
  <si>
    <t>Flying</t>
  </si>
  <si>
    <t>CharizardMega Charizard X</t>
  </si>
  <si>
    <t>Dragon</t>
  </si>
  <si>
    <t>CharizardMega Charizard Y</t>
  </si>
  <si>
    <t>Butterfree</t>
  </si>
  <si>
    <t>Bug</t>
  </si>
  <si>
    <t>Weedle</t>
  </si>
  <si>
    <t>Kakuna</t>
  </si>
  <si>
    <t>Beedrill</t>
  </si>
  <si>
    <t>BeedrillMega Beedrill</t>
  </si>
  <si>
    <t>Pidgey</t>
  </si>
  <si>
    <t>Normal</t>
  </si>
  <si>
    <t>Pidgeotto</t>
  </si>
  <si>
    <t>Pidgeot</t>
  </si>
  <si>
    <t>PidgeotMega Pidgeot</t>
  </si>
  <si>
    <t>Spearow</t>
  </si>
  <si>
    <t>Fearow</t>
  </si>
  <si>
    <t>Nidoqueen</t>
  </si>
  <si>
    <t>Ground</t>
  </si>
  <si>
    <t>Nidoking</t>
  </si>
  <si>
    <t>Jigglypuff</t>
  </si>
  <si>
    <t>Fairy</t>
  </si>
  <si>
    <t>Wigglytuff</t>
  </si>
  <si>
    <t>Zubat</t>
  </si>
  <si>
    <t>Golbat</t>
  </si>
  <si>
    <t>Oddish</t>
  </si>
  <si>
    <t>Gloom</t>
  </si>
  <si>
    <t>Vileplume</t>
  </si>
  <si>
    <t>Paras</t>
  </si>
  <si>
    <t>Parasect</t>
  </si>
  <si>
    <t>Venonat</t>
  </si>
  <si>
    <t>Venomoth</t>
  </si>
  <si>
    <t>Poliwrath</t>
  </si>
  <si>
    <t>Water</t>
  </si>
  <si>
    <t>Fighting</t>
  </si>
  <si>
    <t>Bellsprout</t>
  </si>
  <si>
    <t>Weepinbell</t>
  </si>
  <si>
    <t>Victreebel</t>
  </si>
  <si>
    <t>Tentacool</t>
  </si>
  <si>
    <t>Tentacruel</t>
  </si>
  <si>
    <t>Geodude</t>
  </si>
  <si>
    <t>Rock</t>
  </si>
  <si>
    <t>Graveler</t>
  </si>
  <si>
    <t>Golem</t>
  </si>
  <si>
    <t>Slowpoke</t>
  </si>
  <si>
    <t>Psychic</t>
  </si>
  <si>
    <t>Slowbro</t>
  </si>
  <si>
    <t>SlowbroMega Slowbro</t>
  </si>
  <si>
    <t>Magnemite</t>
  </si>
  <si>
    <t>Electric</t>
  </si>
  <si>
    <t>Steel</t>
  </si>
  <si>
    <t>Magneton</t>
  </si>
  <si>
    <t>Farfetch'd</t>
  </si>
  <si>
    <t>Doduo</t>
  </si>
  <si>
    <t>Dodrio</t>
  </si>
  <si>
    <t>Dewgong</t>
  </si>
  <si>
    <t>Ice</t>
  </si>
  <si>
    <t>Cloyster</t>
  </si>
  <si>
    <t>Gastly</t>
  </si>
  <si>
    <t>Ghost</t>
  </si>
  <si>
    <t>Haunter</t>
  </si>
  <si>
    <t>Gengar</t>
  </si>
  <si>
    <t>GengarMega Gengar</t>
  </si>
  <si>
    <t>Onix</t>
  </si>
  <si>
    <t>Exeggcute</t>
  </si>
  <si>
    <t>Exeggutor</t>
  </si>
  <si>
    <t>Rhyhorn</t>
  </si>
  <si>
    <t>Rhydon</t>
  </si>
  <si>
    <t>Starmie</t>
  </si>
  <si>
    <t>Mr. Mime</t>
  </si>
  <si>
    <t>Scyther</t>
  </si>
  <si>
    <t>Jynx</t>
  </si>
  <si>
    <t>PinsirMega Pinsir</t>
  </si>
  <si>
    <t>Gyarados</t>
  </si>
  <si>
    <t>GyaradosMega Gyarados</t>
  </si>
  <si>
    <t>Dark</t>
  </si>
  <si>
    <t>Lapras</t>
  </si>
  <si>
    <t>Omanyte</t>
  </si>
  <si>
    <t>Omastar</t>
  </si>
  <si>
    <t>Kabuto</t>
  </si>
  <si>
    <t>Kabutops</t>
  </si>
  <si>
    <t>Aerodactyl</t>
  </si>
  <si>
    <t>AerodactylMega Aerodactyl</t>
  </si>
  <si>
    <t>Articuno</t>
  </si>
  <si>
    <t>Zapdos</t>
  </si>
  <si>
    <t>Moltres</t>
  </si>
  <si>
    <t>Dragonite</t>
  </si>
  <si>
    <t>MewtwoMega Mewtwo X</t>
  </si>
  <si>
    <t>Hoothoot</t>
  </si>
  <si>
    <t>Noctowl</t>
  </si>
  <si>
    <t>Ledyba</t>
  </si>
  <si>
    <t>Ledian</t>
  </si>
  <si>
    <t>Spinarak</t>
  </si>
  <si>
    <t>Ariados</t>
  </si>
  <si>
    <t>Crobat</t>
  </si>
  <si>
    <t>Chinchou</t>
  </si>
  <si>
    <t>Lanturn</t>
  </si>
  <si>
    <t>Igglybuff</t>
  </si>
  <si>
    <t>Togetic</t>
  </si>
  <si>
    <t>Natu</t>
  </si>
  <si>
    <t>Xatu</t>
  </si>
  <si>
    <t>AmpharosMega Ampharos</t>
  </si>
  <si>
    <t>Marill</t>
  </si>
  <si>
    <t>Azumarill</t>
  </si>
  <si>
    <t>Hoppip</t>
  </si>
  <si>
    <t>Skiploom</t>
  </si>
  <si>
    <t>Jumpluff</t>
  </si>
  <si>
    <t>Yanma</t>
  </si>
  <si>
    <t>Wooper</t>
  </si>
  <si>
    <t>Quagsire</t>
  </si>
  <si>
    <t>Murkrow</t>
  </si>
  <si>
    <t>Slowking</t>
  </si>
  <si>
    <t>Girafarig</t>
  </si>
  <si>
    <t>Forretress</t>
  </si>
  <si>
    <t>Gligar</t>
  </si>
  <si>
    <t>Steelix</t>
  </si>
  <si>
    <t>SteelixMega Steelix</t>
  </si>
  <si>
    <t>Qwilfish</t>
  </si>
  <si>
    <t>Scizor</t>
  </si>
  <si>
    <t>ScizorMega Scizor</t>
  </si>
  <si>
    <t>Shuckle</t>
  </si>
  <si>
    <t>Heracross</t>
  </si>
  <si>
    <t>HeracrossMega Heracross</t>
  </si>
  <si>
    <t>Sneasel</t>
  </si>
  <si>
    <t>Magcargo</t>
  </si>
  <si>
    <t>Swinub</t>
  </si>
  <si>
    <t>Piloswine</t>
  </si>
  <si>
    <t>Corsola</t>
  </si>
  <si>
    <t>Delibird</t>
  </si>
  <si>
    <t>Mantine</t>
  </si>
  <si>
    <t>Skarmory</t>
  </si>
  <si>
    <t>Houndour</t>
  </si>
  <si>
    <t>Houndoom</t>
  </si>
  <si>
    <t>HoundoomMega Houndoom</t>
  </si>
  <si>
    <t>Kingdra</t>
  </si>
  <si>
    <t>Smoochum</t>
  </si>
  <si>
    <t>Larvitar</t>
  </si>
  <si>
    <t>Pupitar</t>
  </si>
  <si>
    <t>Tyranitar</t>
  </si>
  <si>
    <t>TyranitarMega Tyranitar</t>
  </si>
  <si>
    <t>Lugia</t>
  </si>
  <si>
    <t>Ho-oh</t>
  </si>
  <si>
    <t>Celebi</t>
  </si>
  <si>
    <t>SceptileMega Sceptile</t>
  </si>
  <si>
    <t>Combusken</t>
  </si>
  <si>
    <t>Blaziken</t>
  </si>
  <si>
    <t>BlazikenMega Blaziken</t>
  </si>
  <si>
    <t>Marshtomp</t>
  </si>
  <si>
    <t>Swampert</t>
  </si>
  <si>
    <t>SwampertMega Swampert</t>
  </si>
  <si>
    <t>Beautifly</t>
  </si>
  <si>
    <t>Dustox</t>
  </si>
  <si>
    <t>Lotad</t>
  </si>
  <si>
    <t>Lombre</t>
  </si>
  <si>
    <t>Ludicolo</t>
  </si>
  <si>
    <t>Nuzleaf</t>
  </si>
  <si>
    <t>Shiftry</t>
  </si>
  <si>
    <t>Taillow</t>
  </si>
  <si>
    <t>Swellow</t>
  </si>
  <si>
    <t>Wingull</t>
  </si>
  <si>
    <t>Pelipper</t>
  </si>
  <si>
    <t>Ralts</t>
  </si>
  <si>
    <t>Kirlia</t>
  </si>
  <si>
    <t>Gardevoir</t>
  </si>
  <si>
    <t>GardevoirMega Gardevoir</t>
  </si>
  <si>
    <t>Surskit</t>
  </si>
  <si>
    <t>Masquerain</t>
  </si>
  <si>
    <t>Breloom</t>
  </si>
  <si>
    <t>Nincada</t>
  </si>
  <si>
    <t>Ninjask</t>
  </si>
  <si>
    <t>Shedinja</t>
  </si>
  <si>
    <t>Azurill</t>
  </si>
  <si>
    <t>Sableye</t>
  </si>
  <si>
    <t>SableyeMega Sableye</t>
  </si>
  <si>
    <t>Mawile</t>
  </si>
  <si>
    <t>MawileMega Mawile</t>
  </si>
  <si>
    <t>Aron</t>
  </si>
  <si>
    <t>Lairon</t>
  </si>
  <si>
    <t>Aggron</t>
  </si>
  <si>
    <t>Meditite</t>
  </si>
  <si>
    <t>Medicham</t>
  </si>
  <si>
    <t>MedichamMega Medicham</t>
  </si>
  <si>
    <t>Roselia</t>
  </si>
  <si>
    <t>Carvanha</t>
  </si>
  <si>
    <t>Sharpedo</t>
  </si>
  <si>
    <t>SharpedoMega Sharpedo</t>
  </si>
  <si>
    <t>Numel</t>
  </si>
  <si>
    <t>Camerupt</t>
  </si>
  <si>
    <t>CameruptMega Camerupt</t>
  </si>
  <si>
    <t>Vibrava</t>
  </si>
  <si>
    <t>Flygon</t>
  </si>
  <si>
    <t>Cacturne</t>
  </si>
  <si>
    <t>Swablu</t>
  </si>
  <si>
    <t>Altaria</t>
  </si>
  <si>
    <t>AltariaMega Altaria</t>
  </si>
  <si>
    <t>Lunatone</t>
  </si>
  <si>
    <t>Solrock</t>
  </si>
  <si>
    <t>Barboach</t>
  </si>
  <si>
    <t>Whiscash</t>
  </si>
  <si>
    <t>Crawdaunt</t>
  </si>
  <si>
    <t>Baltoy</t>
  </si>
  <si>
    <t>Claydol</t>
  </si>
  <si>
    <t>Lileep</t>
  </si>
  <si>
    <t>Cradily</t>
  </si>
  <si>
    <t>Anorith</t>
  </si>
  <si>
    <t>Armaldo</t>
  </si>
  <si>
    <t>Tropius</t>
  </si>
  <si>
    <t>Spheal</t>
  </si>
  <si>
    <t>Sealeo</t>
  </si>
  <si>
    <t>Walrein</t>
  </si>
  <si>
    <t>Relicanth</t>
  </si>
  <si>
    <t>Salamence</t>
  </si>
  <si>
    <t>SalamenceMega Salamence</t>
  </si>
  <si>
    <t>Beldum</t>
  </si>
  <si>
    <t>Metang</t>
  </si>
  <si>
    <t>Metagross</t>
  </si>
  <si>
    <t>MetagrossMega Metagross</t>
  </si>
  <si>
    <t>Latias</t>
  </si>
  <si>
    <t>LatiasMega Latias</t>
  </si>
  <si>
    <t>Latios</t>
  </si>
  <si>
    <t>LatiosMega Latios</t>
  </si>
  <si>
    <t>GroudonPrimal Groudon</t>
  </si>
  <si>
    <t>Rayquaza</t>
  </si>
  <si>
    <t>RayquazaMega Rayquaza</t>
  </si>
  <si>
    <t>Jirachi</t>
  </si>
  <si>
    <t>Torterra</t>
  </si>
  <si>
    <t>Monferno</t>
  </si>
  <si>
    <t>Infernape</t>
  </si>
  <si>
    <t>Empoleon</t>
  </si>
  <si>
    <t>Starly</t>
  </si>
  <si>
    <t>Staravia</t>
  </si>
  <si>
    <t>Staraptor</t>
  </si>
  <si>
    <t>Bibarel</t>
  </si>
  <si>
    <t>Budew</t>
  </si>
  <si>
    <t>Roserade</t>
  </si>
  <si>
    <t>Shieldon</t>
  </si>
  <si>
    <t>Bastiodon</t>
  </si>
  <si>
    <t>WormadamPlant Cloak</t>
  </si>
  <si>
    <t>WormadamSandy Cloak</t>
  </si>
  <si>
    <t>WormadamTrash Cloak</t>
  </si>
  <si>
    <t>Mothim</t>
  </si>
  <si>
    <t>Combee</t>
  </si>
  <si>
    <t>Vespiquen</t>
  </si>
  <si>
    <t>Gastrodon</t>
  </si>
  <si>
    <t>Drifloon</t>
  </si>
  <si>
    <t>Drifblim</t>
  </si>
  <si>
    <t>LopunnyMega Lopunny</t>
  </si>
  <si>
    <t>Honchkrow</t>
  </si>
  <si>
    <t>Stunky</t>
  </si>
  <si>
    <t>Skuntank</t>
  </si>
  <si>
    <t>Bronzor</t>
  </si>
  <si>
    <t>Bronzong</t>
  </si>
  <si>
    <t>Mime Jr.</t>
  </si>
  <si>
    <t>Chatot</t>
  </si>
  <si>
    <t>Spiritomb</t>
  </si>
  <si>
    <t>Gible</t>
  </si>
  <si>
    <t>Gabite</t>
  </si>
  <si>
    <t>Garchomp</t>
  </si>
  <si>
    <t>GarchompMega Garchomp</t>
  </si>
  <si>
    <t>Lucario</t>
  </si>
  <si>
    <t>LucarioMega Lucario</t>
  </si>
  <si>
    <t>Skorupi</t>
  </si>
  <si>
    <t>Drapion</t>
  </si>
  <si>
    <t>Croagunk</t>
  </si>
  <si>
    <t>Toxicroak</t>
  </si>
  <si>
    <t>Mantyke</t>
  </si>
  <si>
    <t>Snover</t>
  </si>
  <si>
    <t>Abomasnow</t>
  </si>
  <si>
    <t>AbomasnowMega Abomasnow</t>
  </si>
  <si>
    <t>Weavile</t>
  </si>
  <si>
    <t>Magnezone</t>
  </si>
  <si>
    <t>Rhyperior</t>
  </si>
  <si>
    <t>Togekiss</t>
  </si>
  <si>
    <t>Yanmega</t>
  </si>
  <si>
    <t>Gliscor</t>
  </si>
  <si>
    <t>Mamoswine</t>
  </si>
  <si>
    <t>Gallade</t>
  </si>
  <si>
    <t>GalladeMega Gallade</t>
  </si>
  <si>
    <t>Probopass</t>
  </si>
  <si>
    <t>Froslass</t>
  </si>
  <si>
    <t>Rotom</t>
  </si>
  <si>
    <t>RotomHeat Rotom</t>
  </si>
  <si>
    <t>RotomWash Rotom</t>
  </si>
  <si>
    <t>RotomFrost Rotom</t>
  </si>
  <si>
    <t>RotomFan Rotom</t>
  </si>
  <si>
    <t>RotomMow Rotom</t>
  </si>
  <si>
    <t>Dialga</t>
  </si>
  <si>
    <t>Palkia</t>
  </si>
  <si>
    <t>Heatran</t>
  </si>
  <si>
    <t>GiratinaAltered Forme</t>
  </si>
  <si>
    <t>GiratinaOrigin Forme</t>
  </si>
  <si>
    <t>ShayminSky Forme</t>
  </si>
  <si>
    <t>Victini</t>
  </si>
  <si>
    <t>Pignite</t>
  </si>
  <si>
    <t>Emboar</t>
  </si>
  <si>
    <t>Pidove</t>
  </si>
  <si>
    <t>Tranquill</t>
  </si>
  <si>
    <t>Unfezant</t>
  </si>
  <si>
    <t>Woobat</t>
  </si>
  <si>
    <t>Swoobat</t>
  </si>
  <si>
    <t>Excadrill</t>
  </si>
  <si>
    <t>AudinoMega Audino</t>
  </si>
  <si>
    <t>Palpitoad</t>
  </si>
  <si>
    <t>Seismitoad</t>
  </si>
  <si>
    <t>Sewaddle</t>
  </si>
  <si>
    <t>Swadloon</t>
  </si>
  <si>
    <t>Leavanny</t>
  </si>
  <si>
    <t>Venipede</t>
  </si>
  <si>
    <t>Whirlipede</t>
  </si>
  <si>
    <t>Scolipede</t>
  </si>
  <si>
    <t>Cottonee</t>
  </si>
  <si>
    <t>Whimsicott</t>
  </si>
  <si>
    <t>Sandile</t>
  </si>
  <si>
    <t>Krokorok</t>
  </si>
  <si>
    <t>Krookodile</t>
  </si>
  <si>
    <t>DarmanitanZen Mode</t>
  </si>
  <si>
    <t>Dwebble</t>
  </si>
  <si>
    <t>Crustle</t>
  </si>
  <si>
    <t>Scraggy</t>
  </si>
  <si>
    <t>Scrafty</t>
  </si>
  <si>
    <t>Sigilyph</t>
  </si>
  <si>
    <t>Tirtouga</t>
  </si>
  <si>
    <t>Carracosta</t>
  </si>
  <si>
    <t>Archen</t>
  </si>
  <si>
    <t>Archeops</t>
  </si>
  <si>
    <t>Ducklett</t>
  </si>
  <si>
    <t>Swanna</t>
  </si>
  <si>
    <t>Deerling</t>
  </si>
  <si>
    <t>Sawsbuck</t>
  </si>
  <si>
    <t>Emolga</t>
  </si>
  <si>
    <t>Escavalier</t>
  </si>
  <si>
    <t>Foongus</t>
  </si>
  <si>
    <t>Amoonguss</t>
  </si>
  <si>
    <t>Frillish</t>
  </si>
  <si>
    <t>Jellicent</t>
  </si>
  <si>
    <t>Joltik</t>
  </si>
  <si>
    <t>Galvantula</t>
  </si>
  <si>
    <t>Ferroseed</t>
  </si>
  <si>
    <t>Ferrothorn</t>
  </si>
  <si>
    <t>Litwick</t>
  </si>
  <si>
    <t>Lampent</t>
  </si>
  <si>
    <t>Chandelure</t>
  </si>
  <si>
    <t>Stunfisk</t>
  </si>
  <si>
    <t>Golett</t>
  </si>
  <si>
    <t>Golurk</t>
  </si>
  <si>
    <t>Pawniard</t>
  </si>
  <si>
    <t>Bisharp</t>
  </si>
  <si>
    <t>Rufflet</t>
  </si>
  <si>
    <t>Braviary</t>
  </si>
  <si>
    <t>Vullaby</t>
  </si>
  <si>
    <t>Mandibuzz</t>
  </si>
  <si>
    <t>Durant</t>
  </si>
  <si>
    <t>Deino</t>
  </si>
  <si>
    <t>Zweilous</t>
  </si>
  <si>
    <t>Hydreigon</t>
  </si>
  <si>
    <t>Larvesta</t>
  </si>
  <si>
    <t>Volcarona</t>
  </si>
  <si>
    <t>Cobalion</t>
  </si>
  <si>
    <t>Terrakion</t>
  </si>
  <si>
    <t>Virizion</t>
  </si>
  <si>
    <t>ThundurusIncarnate Forme</t>
  </si>
  <si>
    <t>ThundurusTherian Forme</t>
  </si>
  <si>
    <t>Reshiram</t>
  </si>
  <si>
    <t>Zekrom</t>
  </si>
  <si>
    <t>LandorusIncarnate Forme</t>
  </si>
  <si>
    <t>LandorusTherian Forme</t>
  </si>
  <si>
    <t>Kyurem</t>
  </si>
  <si>
    <t>KyuremBlack Kyurem</t>
  </si>
  <si>
    <t>KyuremWhite Kyurem</t>
  </si>
  <si>
    <t>KeldeoOrdinary Forme</t>
  </si>
  <si>
    <t>KeldeoResolute Forme</t>
  </si>
  <si>
    <t>MeloettaAria Forme</t>
  </si>
  <si>
    <t>MeloettaPirouette Forme</t>
  </si>
  <si>
    <t>Genesect</t>
  </si>
  <si>
    <t>Chesnaught</t>
  </si>
  <si>
    <t>Delphox</t>
  </si>
  <si>
    <t>Greninja</t>
  </si>
  <si>
    <t>Diggersby</t>
  </si>
  <si>
    <t>Fletchling</t>
  </si>
  <si>
    <t>Fletchinder</t>
  </si>
  <si>
    <t>Talonflame</t>
  </si>
  <si>
    <t>Vivillon</t>
  </si>
  <si>
    <t>Litleo</t>
  </si>
  <si>
    <t>Pyroar</t>
  </si>
  <si>
    <t>Pangoro</t>
  </si>
  <si>
    <t>Honedge</t>
  </si>
  <si>
    <t>Doublade</t>
  </si>
  <si>
    <t>AegislashBlade Forme</t>
  </si>
  <si>
    <t>AegislashShield Forme</t>
  </si>
  <si>
    <t>Inkay</t>
  </si>
  <si>
    <t>Malamar</t>
  </si>
  <si>
    <t>Binacle</t>
  </si>
  <si>
    <t>Barbaracle</t>
  </si>
  <si>
    <t>Skrelp</t>
  </si>
  <si>
    <t>Dragalge</t>
  </si>
  <si>
    <t>Helioptile</t>
  </si>
  <si>
    <t>Heliolisk</t>
  </si>
  <si>
    <t>Tyrunt</t>
  </si>
  <si>
    <t>Tyrantrum</t>
  </si>
  <si>
    <t>Amaura</t>
  </si>
  <si>
    <t>Aurorus</t>
  </si>
  <si>
    <t>Hawlucha</t>
  </si>
  <si>
    <t>Dedenne</t>
  </si>
  <si>
    <t>Carbink</t>
  </si>
  <si>
    <t>Klefki</t>
  </si>
  <si>
    <t>Phantump</t>
  </si>
  <si>
    <t>Trevenant</t>
  </si>
  <si>
    <t>PumpkabooAverage Size</t>
  </si>
  <si>
    <t>PumpkabooSmall Size</t>
  </si>
  <si>
    <t>PumpkabooLarge Size</t>
  </si>
  <si>
    <t>PumpkabooSuper Size</t>
  </si>
  <si>
    <t>GourgeistAverage Size</t>
  </si>
  <si>
    <t>GourgeistSmall Size</t>
  </si>
  <si>
    <t>GourgeistLarge Size</t>
  </si>
  <si>
    <t>GourgeistSuper Size</t>
  </si>
  <si>
    <t>Noibat</t>
  </si>
  <si>
    <t>Noivern</t>
  </si>
  <si>
    <t>Yveltal</t>
  </si>
  <si>
    <t>Zygarde50% Forme</t>
  </si>
  <si>
    <t>Diancie</t>
  </si>
  <si>
    <t>DiancieMega Diancie</t>
  </si>
  <si>
    <t>HoopaHoopa Confined</t>
  </si>
  <si>
    <t>HoopaHoopa Unbound</t>
  </si>
  <si>
    <t>Volcanion</t>
  </si>
  <si>
    <t>Count of Name</t>
  </si>
  <si>
    <t>Row Labels</t>
  </si>
  <si>
    <t>Grand Total</t>
  </si>
  <si>
    <t>Column Labels</t>
  </si>
  <si>
    <t>Average of Attack</t>
  </si>
  <si>
    <t>Average of Defense</t>
  </si>
  <si>
    <t>Average of Speed</t>
  </si>
  <si>
    <t>LEGENDARY</t>
  </si>
  <si>
    <t>Legendary/normal</t>
  </si>
  <si>
    <t>NORMAL</t>
  </si>
  <si>
    <t>count of pokemons of type 1</t>
  </si>
  <si>
    <t>count of pokemons of type 2</t>
  </si>
  <si>
    <t>count of legendary and normal pokemons</t>
  </si>
  <si>
    <t xml:space="preserve">count of pokemons generation wise </t>
  </si>
  <si>
    <t>Total Average of Attack</t>
  </si>
  <si>
    <t>Total Average of Speed</t>
  </si>
  <si>
    <t>Total Average of Defense</t>
  </si>
  <si>
    <t>this table shows the average of attack,speed and defense of legendary/normal pokemons generation wise and in the end the total average of each has been present</t>
  </si>
  <si>
    <t>Total Pokemons</t>
  </si>
  <si>
    <t>Legendary count</t>
  </si>
  <si>
    <t>average attack</t>
  </si>
  <si>
    <t>average defense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</si>
</sst>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Display"/>
      <family val="2"/>
    </font>
    <font>
      <b/>
      <sz val="11"/>
      <color theme="9" tint="-0.249977111117893"/>
      <name val="Calibri"/>
      <family val="2"/>
      <scheme val="minor"/>
    </font>
    <font>
      <b/>
      <u/>
      <sz val="11"/>
      <color theme="9" tint="-0.249977111117893"/>
      <name val="Calibri"/>
      <family val="2"/>
      <scheme val="minor"/>
    </font>
    <font>
      <sz val="11"/>
      <color theme="1"/>
      <name val="Ink Free"/>
      <family val="4"/>
    </font>
    <font>
      <sz val="11"/>
      <color theme="9" tint="-0.249977111117893"/>
      <name val="Ink Free"/>
      <family val="4"/>
    </font>
    <font>
      <b/>
      <u/>
      <sz val="11"/>
      <color theme="9" tint="-0.249977111117893"/>
      <name val="Aptos Display"/>
      <family val="2"/>
    </font>
    <font>
      <b/>
      <sz val="14"/>
      <color rgb="FF2B2B2B"/>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DDDDD"/>
      </left>
      <right style="thin">
        <color rgb="FFDDDDDD"/>
      </right>
      <top style="thin">
        <color rgb="FFDDDDDD"/>
      </top>
      <bottom style="thin">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8" fillId="33" borderId="0" xfId="0" applyFont="1" applyFill="1" applyAlignment="1">
      <alignment horizontal="center"/>
    </xf>
    <xf numFmtId="0" fontId="19" fillId="0" borderId="0" xfId="0" applyFont="1" applyAlignment="1">
      <alignment vertical="center"/>
    </xf>
    <xf numFmtId="0" fontId="0" fillId="0" borderId="0" xfId="0" applyAlignment="1">
      <alignment vertical="center"/>
    </xf>
    <xf numFmtId="0" fontId="21" fillId="0" borderId="0" xfId="0" applyFont="1"/>
    <xf numFmtId="0" fontId="22" fillId="0" borderId="0" xfId="0" applyFont="1"/>
    <xf numFmtId="0" fontId="23" fillId="0" borderId="0" xfId="0" applyFont="1"/>
    <xf numFmtId="0" fontId="20" fillId="0" borderId="0" xfId="0" applyFont="1" applyAlignment="1">
      <alignment horizontal="center"/>
    </xf>
    <xf numFmtId="0" fontId="24" fillId="34" borderId="10" xfId="0" applyFont="1" applyFill="1" applyBorder="1" applyAlignment="1">
      <alignment horizontal="center" vertical="center" wrapText="1"/>
    </xf>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font>
    </dxf>
  </dxfs>
  <tableStyles count="1" defaultTableStyle="TableStyleMedium2" defaultPivotStyle="PivotStyleLight16">
    <tableStyle name="Slicer Style 1" pivot="0" table="0" count="1" xr9:uid="{8463499A-5B7B-4C83-824F-D1C5F06641EE}">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count!$B$3</c:f>
              <c:strCache>
                <c:ptCount val="1"/>
                <c:pt idx="0">
                  <c:v>Total</c:v>
                </c:pt>
              </c:strCache>
            </c:strRef>
          </c:tx>
          <c:spPr>
            <a:solidFill>
              <a:schemeClr val="accent1"/>
            </a:solidFill>
            <a:ln>
              <a:noFill/>
            </a:ln>
            <a:effectLst/>
            <a:sp3d/>
          </c:spPr>
          <c:invertIfNegative val="0"/>
          <c:cat>
            <c:strRef>
              <c:f>count!$A$4:$A$22</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count!$B$4:$B$22</c:f>
              <c:numCache>
                <c:formatCode>General</c:formatCode>
                <c:ptCount val="18"/>
                <c:pt idx="0">
                  <c:v>3</c:v>
                </c:pt>
                <c:pt idx="1">
                  <c:v>20</c:v>
                </c:pt>
                <c:pt idx="2">
                  <c:v>18</c:v>
                </c:pt>
                <c:pt idx="3">
                  <c:v>6</c:v>
                </c:pt>
                <c:pt idx="4">
                  <c:v>23</c:v>
                </c:pt>
                <c:pt idx="5">
                  <c:v>26</c:v>
                </c:pt>
                <c:pt idx="6">
                  <c:v>12</c:v>
                </c:pt>
                <c:pt idx="7">
                  <c:v>97</c:v>
                </c:pt>
                <c:pt idx="8">
                  <c:v>14</c:v>
                </c:pt>
                <c:pt idx="9">
                  <c:v>25</c:v>
                </c:pt>
                <c:pt idx="10">
                  <c:v>35</c:v>
                </c:pt>
                <c:pt idx="11">
                  <c:v>14</c:v>
                </c:pt>
                <c:pt idx="12">
                  <c:v>4</c:v>
                </c:pt>
                <c:pt idx="13">
                  <c:v>34</c:v>
                </c:pt>
                <c:pt idx="14">
                  <c:v>33</c:v>
                </c:pt>
                <c:pt idx="15">
                  <c:v>14</c:v>
                </c:pt>
                <c:pt idx="16">
                  <c:v>22</c:v>
                </c:pt>
                <c:pt idx="17">
                  <c:v>14</c:v>
                </c:pt>
              </c:numCache>
            </c:numRef>
          </c:val>
          <c:extLst>
            <c:ext xmlns:c16="http://schemas.microsoft.com/office/drawing/2014/chart" uri="{C3380CC4-5D6E-409C-BE32-E72D297353CC}">
              <c16:uniqueId val="{00000000-8EAD-4F2D-8416-076D1BEBA1F6}"/>
            </c:ext>
          </c:extLst>
        </c:ser>
        <c:dLbls>
          <c:showLegendKey val="0"/>
          <c:showVal val="0"/>
          <c:showCatName val="0"/>
          <c:showSerName val="0"/>
          <c:showPercent val="0"/>
          <c:showBubbleSize val="0"/>
        </c:dLbls>
        <c:gapWidth val="150"/>
        <c:shape val="box"/>
        <c:axId val="591177008"/>
        <c:axId val="591169328"/>
        <c:axId val="0"/>
      </c:bar3DChart>
      <c:catAx>
        <c:axId val="591177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69328"/>
        <c:crosses val="autoZero"/>
        <c:auto val="1"/>
        <c:lblAlgn val="ctr"/>
        <c:lblOffset val="100"/>
        <c:noMultiLvlLbl val="0"/>
      </c:catAx>
      <c:valAx>
        <c:axId val="591169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dashboard.xlsx]count!PivotTable7</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pivotFmt>
      <c:pivotFmt>
        <c:idx val="2"/>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count!$B$26</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AD90-469B-A299-F65BD5CC43B3}"/>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D90-469B-A299-F65BD5CC43B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count!$A$27:$A$29</c:f>
              <c:strCache>
                <c:ptCount val="2"/>
                <c:pt idx="0">
                  <c:v>LEGENDARY</c:v>
                </c:pt>
                <c:pt idx="1">
                  <c:v>NORMAL</c:v>
                </c:pt>
              </c:strCache>
            </c:strRef>
          </c:cat>
          <c:val>
            <c:numRef>
              <c:f>count!$B$27:$B$29</c:f>
              <c:numCache>
                <c:formatCode>General</c:formatCode>
                <c:ptCount val="2"/>
                <c:pt idx="0">
                  <c:v>40</c:v>
                </c:pt>
                <c:pt idx="1">
                  <c:v>374</c:v>
                </c:pt>
              </c:numCache>
            </c:numRef>
          </c:val>
          <c:extLst>
            <c:ext xmlns:c16="http://schemas.microsoft.com/office/drawing/2014/chart" uri="{C3380CC4-5D6E-409C-BE32-E72D297353CC}">
              <c16:uniqueId val="{00000000-AD90-469B-A299-F65BD5CC43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dashboard.xlsx]count!PivotTable8</c:name>
    <c:fmtId val="0"/>
  </c:pivotSource>
  <c:chart>
    <c:autoTitleDeleted val="1"/>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count!$M$26</c:f>
              <c:strCache>
                <c:ptCount val="1"/>
                <c:pt idx="0">
                  <c:v>Total</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BCB-4997-834D-808CB3971FBB}"/>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BCB-4997-834D-808CB3971FBB}"/>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BCB-4997-834D-808CB3971FBB}"/>
              </c:ext>
            </c:extLst>
          </c:dPt>
          <c:dPt>
            <c:idx val="3"/>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BCB-4997-834D-808CB3971FBB}"/>
              </c:ext>
            </c:extLst>
          </c:dPt>
          <c:dPt>
            <c:idx val="4"/>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BCB-4997-834D-808CB3971FBB}"/>
              </c:ext>
            </c:extLst>
          </c:dPt>
          <c:dPt>
            <c:idx val="5"/>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4BCB-4997-834D-808CB3971F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count!$L$27:$L$33</c:f>
              <c:strCache>
                <c:ptCount val="6"/>
                <c:pt idx="0">
                  <c:v>1</c:v>
                </c:pt>
                <c:pt idx="1">
                  <c:v>2</c:v>
                </c:pt>
                <c:pt idx="2">
                  <c:v>3</c:v>
                </c:pt>
                <c:pt idx="3">
                  <c:v>4</c:v>
                </c:pt>
                <c:pt idx="4">
                  <c:v>5</c:v>
                </c:pt>
                <c:pt idx="5">
                  <c:v>6</c:v>
                </c:pt>
              </c:strCache>
            </c:strRef>
          </c:cat>
          <c:val>
            <c:numRef>
              <c:f>count!$M$27:$M$33</c:f>
              <c:numCache>
                <c:formatCode>General</c:formatCode>
                <c:ptCount val="6"/>
                <c:pt idx="0">
                  <c:v>78</c:v>
                </c:pt>
                <c:pt idx="1">
                  <c:v>55</c:v>
                </c:pt>
                <c:pt idx="2">
                  <c:v>82</c:v>
                </c:pt>
                <c:pt idx="3">
                  <c:v>67</c:v>
                </c:pt>
                <c:pt idx="4">
                  <c:v>82</c:v>
                </c:pt>
                <c:pt idx="5">
                  <c:v>50</c:v>
                </c:pt>
              </c:numCache>
            </c:numRef>
          </c:val>
          <c:extLst>
            <c:ext xmlns:c16="http://schemas.microsoft.com/office/drawing/2014/chart" uri="{C3380CC4-5D6E-409C-BE32-E72D297353CC}">
              <c16:uniqueId val="{00000000-D855-4CC3-827A-E675AE30750C}"/>
            </c:ext>
          </c:extLst>
        </c:ser>
        <c:dLbls>
          <c:dLblPos val="inEnd"/>
          <c:showLegendKey val="0"/>
          <c:showVal val="0"/>
          <c:showCatName val="0"/>
          <c:showSerName val="0"/>
          <c:showPercent val="1"/>
          <c:showBubbleSize val="0"/>
          <c:showLeaderLines val="1"/>
        </c:dLbls>
      </c:pie3DChart>
      <c:spPr>
        <a:noFill/>
        <a:ln>
          <a:noFill/>
        </a:ln>
        <a:effectLst>
          <a:outerShdw blurRad="50800" dist="50800" dir="5400000" algn="ctr" rotWithShape="0">
            <a:schemeClr val="bg1">
              <a:alpha val="0"/>
            </a:schemeClr>
          </a:outerShdw>
          <a:softEdge rad="12700"/>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[pokemon dashboard.xlsx]count!PivotTable6</c:name>
    <c:fmtId val="24"/>
  </c:pivotSource>
  <c:chart>
    <c:autoTitleDeleted val="1"/>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count!$M$4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count!$L$5:$L$23</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count!$M$5:$M$23</c:f>
              <c:numCache>
                <c:formatCode>General</c:formatCode>
                <c:ptCount val="18"/>
                <c:pt idx="0">
                  <c:v>3</c:v>
                </c:pt>
                <c:pt idx="1">
                  <c:v>20</c:v>
                </c:pt>
                <c:pt idx="2">
                  <c:v>18</c:v>
                </c:pt>
                <c:pt idx="3">
                  <c:v>6</c:v>
                </c:pt>
                <c:pt idx="4">
                  <c:v>23</c:v>
                </c:pt>
                <c:pt idx="5">
                  <c:v>26</c:v>
                </c:pt>
                <c:pt idx="6">
                  <c:v>12</c:v>
                </c:pt>
                <c:pt idx="7">
                  <c:v>97</c:v>
                </c:pt>
                <c:pt idx="8">
                  <c:v>14</c:v>
                </c:pt>
                <c:pt idx="9">
                  <c:v>25</c:v>
                </c:pt>
                <c:pt idx="10">
                  <c:v>35</c:v>
                </c:pt>
                <c:pt idx="11">
                  <c:v>14</c:v>
                </c:pt>
                <c:pt idx="12">
                  <c:v>4</c:v>
                </c:pt>
                <c:pt idx="13">
                  <c:v>34</c:v>
                </c:pt>
                <c:pt idx="14">
                  <c:v>33</c:v>
                </c:pt>
                <c:pt idx="15">
                  <c:v>14</c:v>
                </c:pt>
                <c:pt idx="16">
                  <c:v>22</c:v>
                </c:pt>
                <c:pt idx="17">
                  <c:v>14</c:v>
                </c:pt>
              </c:numCache>
            </c:numRef>
          </c:val>
          <c:smooth val="0"/>
          <c:extLst>
            <c:ext xmlns:c16="http://schemas.microsoft.com/office/drawing/2014/chart" uri="{C3380CC4-5D6E-409C-BE32-E72D297353CC}">
              <c16:uniqueId val="{00000000-4881-4ABB-B25D-E6205B418C5A}"/>
            </c:ext>
          </c:extLst>
        </c:ser>
        <c:dLbls>
          <c:showLegendKey val="0"/>
          <c:showVal val="0"/>
          <c:showCatName val="0"/>
          <c:showSerName val="0"/>
          <c:showPercent val="0"/>
          <c:showBubbleSize val="0"/>
        </c:dLbls>
        <c:marker val="1"/>
        <c:smooth val="0"/>
        <c:axId val="254936704"/>
        <c:axId val="254937664"/>
      </c:lineChart>
      <c:catAx>
        <c:axId val="25493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37664"/>
        <c:crosses val="autoZero"/>
        <c:auto val="1"/>
        <c:lblAlgn val="ctr"/>
        <c:lblOffset val="100"/>
        <c:noMultiLvlLbl val="0"/>
      </c:catAx>
      <c:valAx>
        <c:axId val="254937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3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 dashboard.xlsx]average!PivotTable9</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average!$D$4:$D$6</c:f>
              <c:strCache>
                <c:ptCount val="1"/>
                <c:pt idx="0">
                  <c:v>LEGENDARY - Average of Attack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average!$D$7:$D$13</c:f>
              <c:numCache>
                <c:formatCode>General</c:formatCode>
                <c:ptCount val="6"/>
                <c:pt idx="0">
                  <c:v>116.25</c:v>
                </c:pt>
                <c:pt idx="1">
                  <c:v>110</c:v>
                </c:pt>
                <c:pt idx="2">
                  <c:v>126.25</c:v>
                </c:pt>
                <c:pt idx="3">
                  <c:v>108.83333333333333</c:v>
                </c:pt>
                <c:pt idx="4">
                  <c:v>122.23076923076923</c:v>
                </c:pt>
                <c:pt idx="5">
                  <c:v>124.42857142857143</c:v>
                </c:pt>
              </c:numCache>
            </c:numRef>
          </c:val>
          <c:extLst>
            <c:ext xmlns:c16="http://schemas.microsoft.com/office/drawing/2014/chart" uri="{C3380CC4-5D6E-409C-BE32-E72D297353CC}">
              <c16:uniqueId val="{00000000-7F6A-47C9-BEBD-6D614AF92081}"/>
            </c:ext>
          </c:extLst>
        </c:ser>
        <c:ser>
          <c:idx val="1"/>
          <c:order val="1"/>
          <c:tx>
            <c:strRef>
              <c:f>average!$E$4:$E$6</c:f>
              <c:strCache>
                <c:ptCount val="1"/>
                <c:pt idx="0">
                  <c:v>LEGENDARY - Average of Speed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average!$E$7:$E$13</c:f>
              <c:numCache>
                <c:formatCode>General</c:formatCode>
                <c:ptCount val="6"/>
                <c:pt idx="0">
                  <c:v>101.25</c:v>
                </c:pt>
                <c:pt idx="1">
                  <c:v>100</c:v>
                </c:pt>
                <c:pt idx="2">
                  <c:v>105</c:v>
                </c:pt>
                <c:pt idx="3">
                  <c:v>95.666666666666671</c:v>
                </c:pt>
                <c:pt idx="4">
                  <c:v>99.461538461538467</c:v>
                </c:pt>
                <c:pt idx="5">
                  <c:v>82</c:v>
                </c:pt>
              </c:numCache>
            </c:numRef>
          </c:val>
          <c:extLst>
            <c:ext xmlns:c16="http://schemas.microsoft.com/office/drawing/2014/chart" uri="{C3380CC4-5D6E-409C-BE32-E72D297353CC}">
              <c16:uniqueId val="{00000001-7F6A-47C9-BEBD-6D614AF92081}"/>
            </c:ext>
          </c:extLst>
        </c:ser>
        <c:ser>
          <c:idx val="2"/>
          <c:order val="2"/>
          <c:tx>
            <c:strRef>
              <c:f>average!$F$4:$F$6</c:f>
              <c:strCache>
                <c:ptCount val="1"/>
                <c:pt idx="0">
                  <c:v>LEGENDARY - Average of Defense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average!$F$7:$F$13</c:f>
              <c:numCache>
                <c:formatCode>General</c:formatCode>
                <c:ptCount val="6"/>
                <c:pt idx="0">
                  <c:v>93.75</c:v>
                </c:pt>
                <c:pt idx="1">
                  <c:v>110</c:v>
                </c:pt>
                <c:pt idx="2">
                  <c:v>105</c:v>
                </c:pt>
                <c:pt idx="3">
                  <c:v>103.5</c:v>
                </c:pt>
                <c:pt idx="4">
                  <c:v>93.15384615384616</c:v>
                </c:pt>
                <c:pt idx="5">
                  <c:v>102.28571428571429</c:v>
                </c:pt>
              </c:numCache>
            </c:numRef>
          </c:val>
          <c:extLst>
            <c:ext xmlns:c16="http://schemas.microsoft.com/office/drawing/2014/chart" uri="{C3380CC4-5D6E-409C-BE32-E72D297353CC}">
              <c16:uniqueId val="{00000002-7F6A-47C9-BEBD-6D614AF92081}"/>
            </c:ext>
          </c:extLst>
        </c:ser>
        <c:ser>
          <c:idx val="3"/>
          <c:order val="3"/>
          <c:tx>
            <c:strRef>
              <c:f>average!$G$4:$G$6</c:f>
              <c:strCache>
                <c:ptCount val="1"/>
                <c:pt idx="0">
                  <c:v>NORMAL - Average of Attack</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average!$G$7:$G$13</c:f>
              <c:numCache>
                <c:formatCode>General</c:formatCode>
                <c:ptCount val="6"/>
                <c:pt idx="0">
                  <c:v>79.310810810810807</c:v>
                </c:pt>
                <c:pt idx="1">
                  <c:v>73.716981132075475</c:v>
                </c:pt>
                <c:pt idx="2">
                  <c:v>81.702702702702709</c:v>
                </c:pt>
                <c:pt idx="3">
                  <c:v>82.803278688524586</c:v>
                </c:pt>
                <c:pt idx="4">
                  <c:v>79.231884057971016</c:v>
                </c:pt>
                <c:pt idx="5">
                  <c:v>76.418604651162795</c:v>
                </c:pt>
              </c:numCache>
            </c:numRef>
          </c:val>
          <c:extLst>
            <c:ext xmlns:c16="http://schemas.microsoft.com/office/drawing/2014/chart" uri="{C3380CC4-5D6E-409C-BE32-E72D297353CC}">
              <c16:uniqueId val="{00000006-A746-47F9-9473-BB3447956147}"/>
            </c:ext>
          </c:extLst>
        </c:ser>
        <c:ser>
          <c:idx val="4"/>
          <c:order val="4"/>
          <c:tx>
            <c:strRef>
              <c:f>average!$H$4:$H$6</c:f>
              <c:strCache>
                <c:ptCount val="1"/>
                <c:pt idx="0">
                  <c:v>NORMAL - Average of Speed</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average!$H$7:$H$13</c:f>
              <c:numCache>
                <c:formatCode>General</c:formatCode>
                <c:ptCount val="6"/>
                <c:pt idx="0">
                  <c:v>69.891891891891888</c:v>
                </c:pt>
                <c:pt idx="1">
                  <c:v>63.377358490566039</c:v>
                </c:pt>
                <c:pt idx="2">
                  <c:v>64.959459459459453</c:v>
                </c:pt>
                <c:pt idx="3">
                  <c:v>71</c:v>
                </c:pt>
                <c:pt idx="4">
                  <c:v>67.565217391304344</c:v>
                </c:pt>
                <c:pt idx="5">
                  <c:v>69.20930232558139</c:v>
                </c:pt>
              </c:numCache>
            </c:numRef>
          </c:val>
          <c:extLst>
            <c:ext xmlns:c16="http://schemas.microsoft.com/office/drawing/2014/chart" uri="{C3380CC4-5D6E-409C-BE32-E72D297353CC}">
              <c16:uniqueId val="{00000007-A746-47F9-9473-BB3447956147}"/>
            </c:ext>
          </c:extLst>
        </c:ser>
        <c:ser>
          <c:idx val="5"/>
          <c:order val="5"/>
          <c:tx>
            <c:strRef>
              <c:f>average!$I$4:$I$6</c:f>
              <c:strCache>
                <c:ptCount val="1"/>
                <c:pt idx="0">
                  <c:v>NORMAL - Average of Defense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average!$C$7:$C$13</c:f>
              <c:strCache>
                <c:ptCount val="6"/>
                <c:pt idx="0">
                  <c:v>1</c:v>
                </c:pt>
                <c:pt idx="1">
                  <c:v>2</c:v>
                </c:pt>
                <c:pt idx="2">
                  <c:v>3</c:v>
                </c:pt>
                <c:pt idx="3">
                  <c:v>4</c:v>
                </c:pt>
                <c:pt idx="4">
                  <c:v>5</c:v>
                </c:pt>
                <c:pt idx="5">
                  <c:v>6</c:v>
                </c:pt>
              </c:strCache>
            </c:strRef>
          </c:cat>
          <c:val>
            <c:numRef>
              <c:f>average!$I$7:$I$13</c:f>
              <c:numCache>
                <c:formatCode>General</c:formatCode>
                <c:ptCount val="6"/>
                <c:pt idx="0">
                  <c:v>76.243243243243242</c:v>
                </c:pt>
                <c:pt idx="1">
                  <c:v>79.679245283018872</c:v>
                </c:pt>
                <c:pt idx="2">
                  <c:v>74.824324324324323</c:v>
                </c:pt>
                <c:pt idx="3">
                  <c:v>81.032786885245898</c:v>
                </c:pt>
                <c:pt idx="4">
                  <c:v>75.173913043478265</c:v>
                </c:pt>
                <c:pt idx="5">
                  <c:v>80.720930232558146</c:v>
                </c:pt>
              </c:numCache>
            </c:numRef>
          </c:val>
          <c:extLst>
            <c:ext xmlns:c16="http://schemas.microsoft.com/office/drawing/2014/chart" uri="{C3380CC4-5D6E-409C-BE32-E72D297353CC}">
              <c16:uniqueId val="{00000008-A746-47F9-9473-BB3447956147}"/>
            </c:ext>
          </c:extLst>
        </c:ser>
        <c:dLbls>
          <c:showLegendKey val="0"/>
          <c:showVal val="0"/>
          <c:showCatName val="0"/>
          <c:showSerName val="0"/>
          <c:showPercent val="0"/>
          <c:showBubbleSize val="0"/>
        </c:dLbls>
        <c:gapWidth val="219"/>
        <c:overlap val="-27"/>
        <c:axId val="788081760"/>
        <c:axId val="788089920"/>
      </c:barChart>
      <c:catAx>
        <c:axId val="7880817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89920"/>
        <c:crosses val="autoZero"/>
        <c:auto val="1"/>
        <c:lblAlgn val="ctr"/>
        <c:lblOffset val="100"/>
        <c:noMultiLvlLbl val="0"/>
      </c:catAx>
      <c:valAx>
        <c:axId val="78808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8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dashboard.xlsx]count!PivotTable5</c:name>
    <c:fmtId val="3"/>
  </c:pivotSource>
  <c:chart>
    <c:title>
      <c:tx>
        <c:rich>
          <a:bodyPr rot="0" spcFirstLastPara="1" vertOverflow="ellipsis" vert="horz" wrap="square" anchor="ctr" anchorCtr="1"/>
          <a:lstStyle/>
          <a:p>
            <a:pPr algn="ctr">
              <a:defRPr sz="1800" b="1" i="0" strike="noStrike" kern="1200" cap="all" spc="50" baseline="0">
                <a:solidFill>
                  <a:schemeClr val="tx1">
                    <a:lumMod val="65000"/>
                    <a:lumOff val="35000"/>
                  </a:schemeClr>
                </a:solidFill>
                <a:latin typeface="+mn-lt"/>
                <a:ea typeface="+mn-ea"/>
                <a:cs typeface="+mn-cs"/>
              </a:defRPr>
            </a:pPr>
            <a:r>
              <a:rPr lang="en-IN" sz="1100"/>
              <a:t>Count of type1 pokemons</a:t>
            </a:r>
          </a:p>
        </c:rich>
      </c:tx>
      <c:overlay val="0"/>
      <c:spPr>
        <a:noFill/>
        <a:ln>
          <a:noFill/>
          <a:prstDash val="solid"/>
        </a:ln>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3"/>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4"/>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5"/>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bar"/>
        <c:grouping val="clustered"/>
        <c:varyColors val="0"/>
        <c:ser>
          <c:idx val="0"/>
          <c:order val="0"/>
          <c:tx>
            <c:strRef>
              <c:f>count!$B$3</c:f>
              <c:strCache>
                <c:ptCount val="1"/>
                <c:pt idx="0">
                  <c:v>Total</c:v>
                </c:pt>
              </c:strCache>
            </c:strRef>
          </c:tx>
          <c:spPr>
            <a:gradFill rotWithShape="1">
              <a:gsLst>
                <a:gs pos="100000">
                  <a:schemeClr val="accent4">
                    <a:alpha val="0"/>
                  </a:schemeClr>
                </a:gs>
                <a:gs pos="50000">
                  <a:schemeClr val="accent4"/>
                </a:gs>
              </a:gsLst>
              <a:lin ang="10800000" scaled="1"/>
            </a:gradFill>
            <a:ln>
              <a:noFill/>
              <a:prstDash val="solid"/>
            </a:ln>
            <a:sp3d/>
          </c:spPr>
          <c:invertIfNegative val="0"/>
          <c:cat>
            <c:strRef>
              <c:f>count!$A$4:$A$22</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count!$B$4:$B$22</c:f>
              <c:numCache>
                <c:formatCode>General</c:formatCode>
                <c:ptCount val="18"/>
                <c:pt idx="0">
                  <c:v>3</c:v>
                </c:pt>
                <c:pt idx="1">
                  <c:v>20</c:v>
                </c:pt>
                <c:pt idx="2">
                  <c:v>18</c:v>
                </c:pt>
                <c:pt idx="3">
                  <c:v>6</c:v>
                </c:pt>
                <c:pt idx="4">
                  <c:v>23</c:v>
                </c:pt>
                <c:pt idx="5">
                  <c:v>26</c:v>
                </c:pt>
                <c:pt idx="6">
                  <c:v>12</c:v>
                </c:pt>
                <c:pt idx="7">
                  <c:v>97</c:v>
                </c:pt>
                <c:pt idx="8">
                  <c:v>14</c:v>
                </c:pt>
                <c:pt idx="9">
                  <c:v>25</c:v>
                </c:pt>
                <c:pt idx="10">
                  <c:v>35</c:v>
                </c:pt>
                <c:pt idx="11">
                  <c:v>14</c:v>
                </c:pt>
                <c:pt idx="12">
                  <c:v>4</c:v>
                </c:pt>
                <c:pt idx="13">
                  <c:v>34</c:v>
                </c:pt>
                <c:pt idx="14">
                  <c:v>33</c:v>
                </c:pt>
                <c:pt idx="15">
                  <c:v>14</c:v>
                </c:pt>
                <c:pt idx="16">
                  <c:v>22</c:v>
                </c:pt>
                <c:pt idx="17">
                  <c:v>14</c:v>
                </c:pt>
              </c:numCache>
            </c:numRef>
          </c:val>
          <c:extLst>
            <c:ext xmlns:c16="http://schemas.microsoft.com/office/drawing/2014/chart" uri="{C3380CC4-5D6E-409C-BE32-E72D297353CC}">
              <c16:uniqueId val="{00000005-995E-47D4-8FB5-D33BED53679B}"/>
            </c:ext>
          </c:extLst>
        </c:ser>
        <c:dLbls>
          <c:showLegendKey val="0"/>
          <c:showVal val="0"/>
          <c:showCatName val="0"/>
          <c:showSerName val="0"/>
          <c:showPercent val="0"/>
          <c:showBubbleSize val="0"/>
        </c:dLbls>
        <c:gapWidth val="150"/>
        <c:gapDepth val="0"/>
        <c:shape val="box"/>
        <c:axId val="591177008"/>
        <c:axId val="591169328"/>
        <c:axId val="0"/>
      </c:bar3DChart>
      <c:catAx>
        <c:axId val="591177008"/>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91169328"/>
        <c:crosses val="autoZero"/>
        <c:auto val="1"/>
        <c:lblAlgn val="ctr"/>
        <c:lblOffset val="100"/>
        <c:noMultiLvlLbl val="0"/>
      </c:catAx>
      <c:valAx>
        <c:axId val="591169328"/>
        <c:scaling>
          <c:orientation val="minMax"/>
        </c:scaling>
        <c:delete val="0"/>
        <c:axPos val="b"/>
        <c:majorGridlines>
          <c:spPr>
            <a:ln w="9525" cap="flat" cmpd="sng" algn="ctr">
              <a:solidFill>
                <a:schemeClr val="tx1">
                  <a:lumMod val="5000"/>
                  <a:lumOff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9117700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dashboard.xlsx]count!PivotTable5</c:name>
    <c:fmtId val="9"/>
  </c:pivotSource>
  <c:chart>
    <c:title>
      <c:tx>
        <c:rich>
          <a:bodyPr rot="0" spcFirstLastPara="1" vertOverflow="ellipsis" vert="horz" wrap="square" anchor="ctr" anchorCtr="1"/>
          <a:lstStyle/>
          <a:p>
            <a:pPr>
              <a:defRPr sz="1800" b="1" i="0" strike="noStrike" kern="1200" cap="all" spc="50" baseline="0">
                <a:solidFill>
                  <a:schemeClr val="tx1">
                    <a:lumMod val="65000"/>
                    <a:lumOff val="35000"/>
                  </a:schemeClr>
                </a:solidFill>
                <a:latin typeface="+mn-lt"/>
                <a:ea typeface="+mn-ea"/>
                <a:cs typeface="+mn-cs"/>
              </a:defRPr>
            </a:pPr>
            <a:r>
              <a:rPr lang="en-IN" sz="1100"/>
              <a:t> Count of type2 pokemons</a:t>
            </a:r>
          </a:p>
        </c:rich>
      </c:tx>
      <c:overlay val="0"/>
      <c:spPr>
        <a:noFill/>
        <a:ln>
          <a:noFill/>
          <a:prstDash val="solid"/>
        </a:ln>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100000">
                <a:schemeClr val="accent4">
                  <a:alpha val="0"/>
                </a:schemeClr>
              </a:gs>
              <a:gs pos="50000">
                <a:schemeClr val="accent4"/>
              </a:gs>
            </a:gsLst>
            <a:lin ang="10800000" scaled="1"/>
          </a:gradFill>
          <a:ln>
            <a:noFill/>
            <a:prstDash val="solid"/>
          </a:ln>
          <a:sp3d/>
        </c:spPr>
        <c:marker>
          <c:symbol val="circle"/>
          <c:size val="6"/>
          <c:spPr>
            <a:gradFill rotWithShape="1">
              <a:gsLst>
                <a:gs pos="0">
                  <a:schemeClr val="accent4"/>
                </a:gs>
                <a:gs pos="75000">
                  <a:schemeClr val="accent4">
                    <a:lumMod val="60000"/>
                    <a:lumOff val="40000"/>
                  </a:schemeClr>
                </a:gs>
                <a:gs pos="51000">
                  <a:schemeClr val="accent4">
                    <a:alpha val="75000"/>
                  </a:schemeClr>
                </a:gs>
                <a:gs pos="100000">
                  <a:schemeClr val="accent4">
                    <a:alpha val="15000"/>
                    <a:lumMod val="20000"/>
                    <a:lumOff val="80000"/>
                  </a:schemeClr>
                </a:gs>
              </a:gsLst>
              <a:lin ang="5400000" scaled="0"/>
            </a:gradFill>
            <a:ln w="9525" cap="flat" cmpd="sng" algn="ctr">
              <a:solidFill>
                <a:schemeClr val="accent4">
                  <a:shade val="95000"/>
                </a:schemeClr>
              </a:solidFill>
              <a:prstDash val="solid"/>
              <a:round/>
            </a:ln>
          </c:spPr>
        </c:marker>
        <c:dLbl>
          <c:idx val="0"/>
          <c:delete val="1"/>
          <c:extLst>
            <c:ext xmlns:c15="http://schemas.microsoft.com/office/drawing/2012/chart" uri="{CE6537A1-D6FC-4f65-9D91-7224C49458BB}"/>
          </c:extLst>
        </c:dLbl>
      </c:pivotFmt>
      <c:pivotFmt>
        <c:idx val="3"/>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4"/>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5"/>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6"/>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
        <c:idx val="7"/>
        <c:spPr>
          <a:gradFill rotWithShape="1">
            <a:gsLst>
              <a:gs pos="100000">
                <a:schemeClr val="accent4">
                  <a:alpha val="0"/>
                </a:schemeClr>
              </a:gs>
              <a:gs pos="50000">
                <a:schemeClr val="accent4"/>
              </a:gs>
            </a:gsLst>
            <a:lin ang="10800000" scaled="1"/>
          </a:gradFill>
          <a:ln>
            <a:noFill/>
            <a:prstDash val="solid"/>
          </a:ln>
          <a:sp3d/>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manualLayout>
          <c:layoutTarget val="inner"/>
          <c:xMode val="edge"/>
          <c:yMode val="edge"/>
          <c:x val="0.12949095464306631"/>
          <c:y val="9.3896713615023469E-2"/>
          <c:w val="0.65271740309320836"/>
          <c:h val="0.79930594063066063"/>
        </c:manualLayout>
      </c:layout>
      <c:bar3DChart>
        <c:barDir val="bar"/>
        <c:grouping val="clustered"/>
        <c:varyColors val="0"/>
        <c:ser>
          <c:idx val="0"/>
          <c:order val="0"/>
          <c:tx>
            <c:strRef>
              <c:f>count!$B$3</c:f>
              <c:strCache>
                <c:ptCount val="1"/>
                <c:pt idx="0">
                  <c:v>Total</c:v>
                </c:pt>
              </c:strCache>
            </c:strRef>
          </c:tx>
          <c:spPr>
            <a:gradFill rotWithShape="1">
              <a:gsLst>
                <a:gs pos="100000">
                  <a:schemeClr val="accent4">
                    <a:alpha val="0"/>
                  </a:schemeClr>
                </a:gs>
                <a:gs pos="50000">
                  <a:schemeClr val="accent4"/>
                </a:gs>
              </a:gsLst>
              <a:lin ang="10800000" scaled="1"/>
            </a:gradFill>
            <a:ln>
              <a:noFill/>
              <a:prstDash val="solid"/>
            </a:ln>
            <a:sp3d/>
          </c:spPr>
          <c:invertIfNegative val="0"/>
          <c:cat>
            <c:strRef>
              <c:f>count!$A$4:$A$22</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count!$B$4:$B$22</c:f>
              <c:numCache>
                <c:formatCode>General</c:formatCode>
                <c:ptCount val="18"/>
                <c:pt idx="0">
                  <c:v>3</c:v>
                </c:pt>
                <c:pt idx="1">
                  <c:v>20</c:v>
                </c:pt>
                <c:pt idx="2">
                  <c:v>18</c:v>
                </c:pt>
                <c:pt idx="3">
                  <c:v>6</c:v>
                </c:pt>
                <c:pt idx="4">
                  <c:v>23</c:v>
                </c:pt>
                <c:pt idx="5">
                  <c:v>26</c:v>
                </c:pt>
                <c:pt idx="6">
                  <c:v>12</c:v>
                </c:pt>
                <c:pt idx="7">
                  <c:v>97</c:v>
                </c:pt>
                <c:pt idx="8">
                  <c:v>14</c:v>
                </c:pt>
                <c:pt idx="9">
                  <c:v>25</c:v>
                </c:pt>
                <c:pt idx="10">
                  <c:v>35</c:v>
                </c:pt>
                <c:pt idx="11">
                  <c:v>14</c:v>
                </c:pt>
                <c:pt idx="12">
                  <c:v>4</c:v>
                </c:pt>
                <c:pt idx="13">
                  <c:v>34</c:v>
                </c:pt>
                <c:pt idx="14">
                  <c:v>33</c:v>
                </c:pt>
                <c:pt idx="15">
                  <c:v>14</c:v>
                </c:pt>
                <c:pt idx="16">
                  <c:v>22</c:v>
                </c:pt>
                <c:pt idx="17">
                  <c:v>14</c:v>
                </c:pt>
              </c:numCache>
            </c:numRef>
          </c:val>
          <c:extLst>
            <c:ext xmlns:c16="http://schemas.microsoft.com/office/drawing/2014/chart" uri="{C3380CC4-5D6E-409C-BE32-E72D297353CC}">
              <c16:uniqueId val="{00000001-A70A-40AA-B7A0-767BB34B6C79}"/>
            </c:ext>
          </c:extLst>
        </c:ser>
        <c:dLbls>
          <c:showLegendKey val="0"/>
          <c:showVal val="0"/>
          <c:showCatName val="0"/>
          <c:showSerName val="0"/>
          <c:showPercent val="0"/>
          <c:showBubbleSize val="0"/>
        </c:dLbls>
        <c:gapWidth val="150"/>
        <c:gapDepth val="0"/>
        <c:shape val="box"/>
        <c:axId val="591177008"/>
        <c:axId val="591169328"/>
        <c:axId val="0"/>
      </c:bar3DChart>
      <c:catAx>
        <c:axId val="591177008"/>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91169328"/>
        <c:crosses val="autoZero"/>
        <c:auto val="1"/>
        <c:lblAlgn val="ctr"/>
        <c:lblOffset val="100"/>
        <c:noMultiLvlLbl val="0"/>
      </c:catAx>
      <c:valAx>
        <c:axId val="591169328"/>
        <c:scaling>
          <c:orientation val="minMax"/>
        </c:scaling>
        <c:delete val="0"/>
        <c:axPos val="b"/>
        <c:majorGridlines>
          <c:spPr>
            <a:ln w="9525" cap="flat" cmpd="sng" algn="ctr">
              <a:solidFill>
                <a:schemeClr val="tx1">
                  <a:lumMod val="5000"/>
                  <a:lumOff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9117700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[pokemon dashboard.xlsx]count!PivotTable7</c:name>
    <c:fmtId val="6"/>
  </c:pivotSource>
  <c:chart>
    <c:title>
      <c:tx>
        <c:rich>
          <a:bodyPr rot="0" spcFirstLastPara="1" vertOverflow="ellipsis" vert="horz" wrap="square" anchor="ctr" anchorCtr="1"/>
          <a:lstStyle/>
          <a:p>
            <a:pPr>
              <a:defRPr sz="1600" b="1" i="0" strike="noStrike" kern="1200" cap="all" baseline="0">
                <a:solidFill>
                  <a:schemeClr val="tx1">
                    <a:lumMod val="65000"/>
                    <a:lumOff val="35000"/>
                  </a:schemeClr>
                </a:solidFill>
                <a:latin typeface="+mn-lt"/>
                <a:ea typeface="+mn-ea"/>
                <a:cs typeface="+mn-cs"/>
              </a:defRPr>
            </a:pPr>
            <a:r>
              <a:rPr lang="en-IN" sz="1100"/>
              <a:t>Count of Legendary/Normal pokemons</a:t>
            </a:r>
          </a:p>
        </c:rich>
      </c:tx>
      <c:overlay val="0"/>
      <c:spPr>
        <a:noFill/>
        <a:ln>
          <a:noFill/>
          <a:prstDash val="solid"/>
        </a:ln>
      </c:spPr>
    </c:title>
    <c:autoTitleDeleted val="0"/>
    <c:pivotFmts>
      <c:pivotFmt>
        <c:idx val="0"/>
        <c:spPr>
          <a:solidFill>
            <a:schemeClr val="accent2"/>
          </a:solidFill>
          <a:ln>
            <a:noFill/>
            <a:prstDash val="solid"/>
          </a:ln>
        </c:spPr>
        <c:marker>
          <c:symbol val="circle"/>
          <c:size val="6"/>
          <c:spPr>
            <a:ln>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prstDash val="solid"/>
          </a:ln>
        </c:spPr>
      </c:pivotFmt>
      <c:pivotFmt>
        <c:idx val="11"/>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prstDash val="solid"/>
          </a:ln>
        </c:spPr>
      </c:pivotFmt>
      <c:pivotFmt>
        <c:idx val="14"/>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prstDash val="solid"/>
          </a:ln>
        </c:spPr>
      </c:pivotFmt>
      <c:pivotFmt>
        <c:idx val="17"/>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count!$B$26</c:f>
              <c:strCache>
                <c:ptCount val="1"/>
                <c:pt idx="0">
                  <c:v>Total</c:v>
                </c:pt>
              </c:strCache>
            </c:strRef>
          </c:tx>
          <c:spPr>
            <a:ln>
              <a:prstDash val="solid"/>
            </a:ln>
          </c:spPr>
          <c:explosion val="23"/>
          <c:dPt>
            <c:idx val="0"/>
            <c:bubble3D val="0"/>
            <c:spPr>
              <a:solidFill>
                <a:schemeClr val="accent2"/>
              </a:solidFill>
              <a:ln>
                <a:noFill/>
                <a:prstDash val="solid"/>
              </a:ln>
            </c:spPr>
            <c:extLst>
              <c:ext xmlns:c16="http://schemas.microsoft.com/office/drawing/2014/chart" uri="{C3380CC4-5D6E-409C-BE32-E72D297353CC}">
                <c16:uniqueId val="{00000006-1C9D-4C3B-9889-4DDD62E51427}"/>
              </c:ext>
            </c:extLst>
          </c:dPt>
          <c:dPt>
            <c:idx val="1"/>
            <c:bubble3D val="0"/>
            <c:explosion val="0"/>
            <c:spPr>
              <a:solidFill>
                <a:schemeClr val="accent4"/>
              </a:solidFill>
              <a:ln>
                <a:noFill/>
                <a:prstDash val="solid"/>
              </a:ln>
            </c:spPr>
            <c:extLst>
              <c:ext xmlns:c16="http://schemas.microsoft.com/office/drawing/2014/chart" uri="{C3380CC4-5D6E-409C-BE32-E72D297353CC}">
                <c16:uniqueId val="{00000008-1C9D-4C3B-9889-4DDD62E51427}"/>
              </c:ext>
            </c:extLst>
          </c:dPt>
          <c:dLbls>
            <c:dLbl>
              <c:idx val="1"/>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8-1C9D-4C3B-9889-4DDD62E51427}"/>
                </c:ext>
              </c:extLst>
            </c:dLbl>
            <c:spPr>
              <a:noFill/>
              <a:ln>
                <a:noFill/>
                <a:prstDash val="solid"/>
              </a:ln>
            </c:spPr>
            <c:txPr>
              <a:bodyPr rot="0" spcFirstLastPara="1" vertOverflow="ellipsis" vert="horz" wrap="square" lIns="38100" tIns="19050" rIns="38100" bIns="19050" anchor="ctr" anchorCtr="1">
                <a:spAutoFit/>
              </a:bodyPr>
              <a:lstStyle/>
              <a:p>
                <a:pPr>
                  <a:defRPr sz="1000" b="1" i="0"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count!$A$27:$A$29</c:f>
              <c:strCache>
                <c:ptCount val="2"/>
                <c:pt idx="0">
                  <c:v>LEGENDARY</c:v>
                </c:pt>
                <c:pt idx="1">
                  <c:v>NORMAL</c:v>
                </c:pt>
              </c:strCache>
            </c:strRef>
          </c:cat>
          <c:val>
            <c:numRef>
              <c:f>count!$B$27:$B$29</c:f>
              <c:numCache>
                <c:formatCode>General</c:formatCode>
                <c:ptCount val="2"/>
                <c:pt idx="0">
                  <c:v>40</c:v>
                </c:pt>
                <c:pt idx="1">
                  <c:v>374</c:v>
                </c:pt>
              </c:numCache>
            </c:numRef>
          </c:val>
          <c:extLst>
            <c:ext xmlns:c16="http://schemas.microsoft.com/office/drawing/2014/chart" uri="{C3380CC4-5D6E-409C-BE32-E72D297353CC}">
              <c16:uniqueId val="{00000009-1C9D-4C3B-9889-4DDD62E5142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[pokemon dashboard.xlsx]average!PivotTable9</c:name>
    <c:fmtId val="6"/>
  </c:pivotSource>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IN" sz="1100"/>
              <a:t>Average of speed,attack and defense </a:t>
            </a:r>
          </a:p>
        </c:rich>
      </c:tx>
      <c:overlay val="0"/>
      <c:spPr>
        <a:noFill/>
        <a:ln>
          <a:noFill/>
          <a:prstDash val="solid"/>
        </a:ln>
      </c:spPr>
    </c:title>
    <c:autoTitleDeleted val="0"/>
    <c:pivotFmts>
      <c:pivotFmt>
        <c:idx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prstDash val="solid"/>
              <a:round/>
            </a:ln>
          </c:spPr>
        </c:marker>
        <c:dLbl>
          <c:idx val="0"/>
          <c:delete val="1"/>
          <c:extLst>
            <c:ext xmlns:c15="http://schemas.microsoft.com/office/drawing/2012/chart" uri="{CE6537A1-D6FC-4f65-9D91-7224C49458BB}"/>
          </c:extLst>
        </c:dLbl>
      </c:pivotFmt>
      <c:pivotFmt>
        <c:idx val="1"/>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solidFill>
              <a:prstDash val="solid"/>
              <a:round/>
            </a:ln>
          </c:spPr>
        </c:marker>
        <c:dLbl>
          <c:idx val="0"/>
          <c:delete val="1"/>
          <c:extLst>
            <c:ext xmlns:c15="http://schemas.microsoft.com/office/drawing/2012/chart" uri="{CE6537A1-D6FC-4f65-9D91-7224C49458BB}"/>
          </c:extLst>
        </c:dLbl>
      </c:pivotFmt>
      <c:pivotFmt>
        <c:idx val="2"/>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solidFill>
              <a:prstDash val="solid"/>
              <a:round/>
            </a:ln>
          </c:spPr>
        </c:marker>
        <c:dLbl>
          <c:idx val="0"/>
          <c:delete val="1"/>
          <c:extLst>
            <c:ext xmlns:c15="http://schemas.microsoft.com/office/drawing/2012/chart" uri="{CE6537A1-D6FC-4f65-9D91-7224C49458BB}"/>
          </c:extLst>
        </c:dLbl>
      </c:pivotFmt>
      <c:pivotFmt>
        <c:idx val="3"/>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4"/>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5"/>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
        <c:idx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9"/>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1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11"/>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34925" cap="rnd">
            <a:solidFill>
              <a:schemeClr val="accent2"/>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
        <c:idx val="12"/>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13"/>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15"/>
        <c:spPr>
          <a:ln w="34925" cap="rnd">
            <a:solidFill>
              <a:schemeClr val="accent2">
                <a:lumMod val="60000"/>
              </a:schemeClr>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16"/>
        <c:spPr>
          <a:ln w="34925" cap="rnd">
            <a:solidFill>
              <a:schemeClr val="accent4">
                <a:lumMod val="60000"/>
              </a:schemeClr>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17"/>
        <c:spPr>
          <a:ln w="34925" cap="rnd">
            <a:solidFill>
              <a:schemeClr val="accent6">
                <a:lumMod val="60000"/>
              </a:schemeClr>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
        <c:idx val="18"/>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19"/>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2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21"/>
        <c:spPr>
          <a:ln w="34925" cap="rnd">
            <a:solidFill>
              <a:schemeClr val="accent2">
                <a:lumMod val="60000"/>
              </a:schemeClr>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22"/>
        <c:spPr>
          <a:ln w="34925" cap="rnd">
            <a:solidFill>
              <a:schemeClr val="accent4">
                <a:lumMod val="60000"/>
              </a:schemeClr>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23"/>
        <c:spPr>
          <a:ln w="34925" cap="rnd">
            <a:solidFill>
              <a:schemeClr val="accent6">
                <a:lumMod val="60000"/>
              </a:schemeClr>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
        <c:idx val="24"/>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25"/>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2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27"/>
        <c:spPr>
          <a:ln w="34925" cap="rnd">
            <a:solidFill>
              <a:schemeClr val="accent2">
                <a:lumMod val="60000"/>
              </a:schemeClr>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28"/>
        <c:spPr>
          <a:ln w="34925" cap="rnd">
            <a:solidFill>
              <a:schemeClr val="accent4">
                <a:lumMod val="60000"/>
              </a:schemeClr>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29"/>
        <c:spPr>
          <a:ln w="34925" cap="rnd">
            <a:solidFill>
              <a:schemeClr val="accent6">
                <a:lumMod val="60000"/>
              </a:schemeClr>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
        <c:idx val="3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31"/>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32"/>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marker>
          <c:symbol val="none"/>
        </c:marker>
        <c:dLbl>
          <c:idx val="0"/>
          <c:delete val="1"/>
          <c:extLst>
            <c:ext xmlns:c15="http://schemas.microsoft.com/office/drawing/2012/chart" uri="{CE6537A1-D6FC-4f65-9D91-7224C49458BB}"/>
          </c:extLst>
        </c:dLbl>
      </c:pivotFmt>
      <c:pivotFmt>
        <c:idx val="33"/>
        <c:spPr>
          <a:ln w="34925" cap="rnd">
            <a:solidFill>
              <a:schemeClr val="accent2">
                <a:lumMod val="60000"/>
              </a:schemeClr>
            </a:solidFill>
            <a:prstDash val="solid"/>
            <a:round/>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lumMod val="60000"/>
                </a:schemeClr>
              </a:solidFill>
              <a:prstDash val="solid"/>
              <a:round/>
            </a:ln>
          </c:spPr>
        </c:marker>
        <c:dLbl>
          <c:idx val="0"/>
          <c:delete val="1"/>
          <c:extLst>
            <c:ext xmlns:c15="http://schemas.microsoft.com/office/drawing/2012/chart" uri="{CE6537A1-D6FC-4f65-9D91-7224C49458BB}"/>
          </c:extLst>
        </c:dLbl>
      </c:pivotFmt>
      <c:pivotFmt>
        <c:idx val="34"/>
        <c:spPr>
          <a:ln w="34925" cap="rnd">
            <a:solidFill>
              <a:schemeClr val="accent4">
                <a:lumMod val="60000"/>
              </a:schemeClr>
            </a:solidFill>
            <a:prstDash val="solid"/>
            <a:round/>
          </a:ln>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lumMod val="60000"/>
                </a:schemeClr>
              </a:solidFill>
              <a:prstDash val="solid"/>
              <a:round/>
            </a:ln>
          </c:spPr>
        </c:marker>
        <c:dLbl>
          <c:idx val="0"/>
          <c:delete val="1"/>
          <c:extLst>
            <c:ext xmlns:c15="http://schemas.microsoft.com/office/drawing/2012/chart" uri="{CE6537A1-D6FC-4f65-9D91-7224C49458BB}"/>
          </c:extLst>
        </c:dLbl>
      </c:pivotFmt>
      <c:pivotFmt>
        <c:idx val="35"/>
        <c:spPr>
          <a:ln w="34925" cap="rnd">
            <a:solidFill>
              <a:schemeClr val="accent6">
                <a:lumMod val="60000"/>
              </a:schemeClr>
            </a:solidFill>
            <a:prstDash val="solid"/>
            <a:round/>
          </a:ln>
        </c:spPr>
        <c:marker>
          <c:symbol val="circle"/>
          <c:size val="6"/>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w="9525">
              <a:solidFill>
                <a:schemeClr val="accent6">
                  <a:lumMod val="60000"/>
                </a:schemeClr>
              </a:solidFill>
              <a:prstDash val="solid"/>
              <a:round/>
            </a:ln>
          </c:spPr>
        </c:marker>
        <c:dLbl>
          <c:idx val="0"/>
          <c:delete val="1"/>
          <c:extLst>
            <c:ext xmlns:c15="http://schemas.microsoft.com/office/drawing/2012/chart" uri="{CE6537A1-D6FC-4f65-9D91-7224C49458BB}"/>
          </c:extLst>
        </c:dLbl>
      </c:pivotFmt>
    </c:pivotFmts>
    <c:plotArea>
      <c:layout>
        <c:manualLayout>
          <c:layoutTarget val="inner"/>
          <c:xMode val="edge"/>
          <c:yMode val="edge"/>
          <c:x val="6.5358705161854769E-2"/>
          <c:y val="2.5428331875182269E-2"/>
          <c:w val="0.53922309711286087"/>
          <c:h val="0.8416746864975212"/>
        </c:manualLayout>
      </c:layout>
      <c:barChart>
        <c:barDir val="col"/>
        <c:grouping val="clustered"/>
        <c:varyColors val="0"/>
        <c:ser>
          <c:idx val="0"/>
          <c:order val="0"/>
          <c:tx>
            <c:strRef>
              <c:f>average!$D$4:$D$6</c:f>
              <c:strCache>
                <c:ptCount val="1"/>
                <c:pt idx="0">
                  <c:v>LEGENDARY - Average of Attack</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cat>
            <c:strRef>
              <c:f>average!$C$7:$C$13</c:f>
              <c:strCache>
                <c:ptCount val="6"/>
                <c:pt idx="0">
                  <c:v>1</c:v>
                </c:pt>
                <c:pt idx="1">
                  <c:v>2</c:v>
                </c:pt>
                <c:pt idx="2">
                  <c:v>3</c:v>
                </c:pt>
                <c:pt idx="3">
                  <c:v>4</c:v>
                </c:pt>
                <c:pt idx="4">
                  <c:v>5</c:v>
                </c:pt>
                <c:pt idx="5">
                  <c:v>6</c:v>
                </c:pt>
              </c:strCache>
            </c:strRef>
          </c:cat>
          <c:val>
            <c:numRef>
              <c:f>average!$D$7:$D$13</c:f>
              <c:numCache>
                <c:formatCode>General</c:formatCode>
                <c:ptCount val="6"/>
                <c:pt idx="0">
                  <c:v>116.25</c:v>
                </c:pt>
                <c:pt idx="1">
                  <c:v>110</c:v>
                </c:pt>
                <c:pt idx="2">
                  <c:v>126.25</c:v>
                </c:pt>
                <c:pt idx="3">
                  <c:v>108.83333333333333</c:v>
                </c:pt>
                <c:pt idx="4">
                  <c:v>122.23076923076923</c:v>
                </c:pt>
                <c:pt idx="5">
                  <c:v>124.42857142857143</c:v>
                </c:pt>
              </c:numCache>
            </c:numRef>
          </c:val>
          <c:extLst>
            <c:ext xmlns:c16="http://schemas.microsoft.com/office/drawing/2014/chart" uri="{C3380CC4-5D6E-409C-BE32-E72D297353CC}">
              <c16:uniqueId val="{00000001-A754-49FF-9151-AE65FC63E6DF}"/>
            </c:ext>
          </c:extLst>
        </c:ser>
        <c:ser>
          <c:idx val="1"/>
          <c:order val="1"/>
          <c:tx>
            <c:strRef>
              <c:f>average!$E$4:$E$6</c:f>
              <c:strCache>
                <c:ptCount val="1"/>
                <c:pt idx="0">
                  <c:v>LEGENDARY - Average of Speed</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prstDash val="solid"/>
            </a:ln>
          </c:spPr>
          <c:invertIfNegative val="0"/>
          <c:cat>
            <c:strRef>
              <c:f>average!$C$7:$C$13</c:f>
              <c:strCache>
                <c:ptCount val="6"/>
                <c:pt idx="0">
                  <c:v>1</c:v>
                </c:pt>
                <c:pt idx="1">
                  <c:v>2</c:v>
                </c:pt>
                <c:pt idx="2">
                  <c:v>3</c:v>
                </c:pt>
                <c:pt idx="3">
                  <c:v>4</c:v>
                </c:pt>
                <c:pt idx="4">
                  <c:v>5</c:v>
                </c:pt>
                <c:pt idx="5">
                  <c:v>6</c:v>
                </c:pt>
              </c:strCache>
            </c:strRef>
          </c:cat>
          <c:val>
            <c:numRef>
              <c:f>average!$E$7:$E$13</c:f>
              <c:numCache>
                <c:formatCode>General</c:formatCode>
                <c:ptCount val="6"/>
                <c:pt idx="0">
                  <c:v>101.25</c:v>
                </c:pt>
                <c:pt idx="1">
                  <c:v>100</c:v>
                </c:pt>
                <c:pt idx="2">
                  <c:v>105</c:v>
                </c:pt>
                <c:pt idx="3">
                  <c:v>95.666666666666671</c:v>
                </c:pt>
                <c:pt idx="4">
                  <c:v>99.461538461538467</c:v>
                </c:pt>
                <c:pt idx="5">
                  <c:v>82</c:v>
                </c:pt>
              </c:numCache>
            </c:numRef>
          </c:val>
          <c:extLst>
            <c:ext xmlns:c16="http://schemas.microsoft.com/office/drawing/2014/chart" uri="{C3380CC4-5D6E-409C-BE32-E72D297353CC}">
              <c16:uniqueId val="{00000003-A754-49FF-9151-AE65FC63E6DF}"/>
            </c:ext>
          </c:extLst>
        </c:ser>
        <c:ser>
          <c:idx val="2"/>
          <c:order val="2"/>
          <c:tx>
            <c:strRef>
              <c:f>average!$F$4:$F$6</c:f>
              <c:strCache>
                <c:ptCount val="1"/>
                <c:pt idx="0">
                  <c:v>LEGENDARY - Average of Defense</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cat>
            <c:strRef>
              <c:f>average!$C$7:$C$13</c:f>
              <c:strCache>
                <c:ptCount val="6"/>
                <c:pt idx="0">
                  <c:v>1</c:v>
                </c:pt>
                <c:pt idx="1">
                  <c:v>2</c:v>
                </c:pt>
                <c:pt idx="2">
                  <c:v>3</c:v>
                </c:pt>
                <c:pt idx="3">
                  <c:v>4</c:v>
                </c:pt>
                <c:pt idx="4">
                  <c:v>5</c:v>
                </c:pt>
                <c:pt idx="5">
                  <c:v>6</c:v>
                </c:pt>
              </c:strCache>
            </c:strRef>
          </c:cat>
          <c:val>
            <c:numRef>
              <c:f>average!$F$7:$F$13</c:f>
              <c:numCache>
                <c:formatCode>General</c:formatCode>
                <c:ptCount val="6"/>
                <c:pt idx="0">
                  <c:v>93.75</c:v>
                </c:pt>
                <c:pt idx="1">
                  <c:v>110</c:v>
                </c:pt>
                <c:pt idx="2">
                  <c:v>105</c:v>
                </c:pt>
                <c:pt idx="3">
                  <c:v>103.5</c:v>
                </c:pt>
                <c:pt idx="4">
                  <c:v>93.15384615384616</c:v>
                </c:pt>
                <c:pt idx="5">
                  <c:v>102.28571428571429</c:v>
                </c:pt>
              </c:numCache>
            </c:numRef>
          </c:val>
          <c:extLst>
            <c:ext xmlns:c16="http://schemas.microsoft.com/office/drawing/2014/chart" uri="{C3380CC4-5D6E-409C-BE32-E72D297353CC}">
              <c16:uniqueId val="{00000005-A754-49FF-9151-AE65FC63E6DF}"/>
            </c:ext>
          </c:extLst>
        </c:ser>
        <c:ser>
          <c:idx val="3"/>
          <c:order val="3"/>
          <c:tx>
            <c:strRef>
              <c:f>average!$G$4:$G$6</c:f>
              <c:strCache>
                <c:ptCount val="1"/>
                <c:pt idx="0">
                  <c:v>NORMAL - Average of Attack</c:v>
                </c:pt>
              </c:strCache>
            </c:strRef>
          </c:tx>
          <c:spPr>
            <a:ln w="34925" cap="rnd">
              <a:solidFill>
                <a:schemeClr val="accent2">
                  <a:lumMod val="60000"/>
                </a:schemeClr>
              </a:solidFill>
              <a:prstDash val="solid"/>
              <a:round/>
            </a:ln>
          </c:spPr>
          <c:invertIfNegative val="0"/>
          <c:cat>
            <c:strRef>
              <c:f>average!$C$7:$C$13</c:f>
              <c:strCache>
                <c:ptCount val="6"/>
                <c:pt idx="0">
                  <c:v>1</c:v>
                </c:pt>
                <c:pt idx="1">
                  <c:v>2</c:v>
                </c:pt>
                <c:pt idx="2">
                  <c:v>3</c:v>
                </c:pt>
                <c:pt idx="3">
                  <c:v>4</c:v>
                </c:pt>
                <c:pt idx="4">
                  <c:v>5</c:v>
                </c:pt>
                <c:pt idx="5">
                  <c:v>6</c:v>
                </c:pt>
              </c:strCache>
            </c:strRef>
          </c:cat>
          <c:val>
            <c:numRef>
              <c:f>average!$G$7:$G$13</c:f>
              <c:numCache>
                <c:formatCode>General</c:formatCode>
                <c:ptCount val="6"/>
                <c:pt idx="0">
                  <c:v>79.310810810810807</c:v>
                </c:pt>
                <c:pt idx="1">
                  <c:v>73.716981132075475</c:v>
                </c:pt>
                <c:pt idx="2">
                  <c:v>81.702702702702709</c:v>
                </c:pt>
                <c:pt idx="3">
                  <c:v>82.803278688524586</c:v>
                </c:pt>
                <c:pt idx="4">
                  <c:v>79.231884057971016</c:v>
                </c:pt>
                <c:pt idx="5">
                  <c:v>76.418604651162795</c:v>
                </c:pt>
              </c:numCache>
            </c:numRef>
          </c:val>
          <c:extLst>
            <c:ext xmlns:c16="http://schemas.microsoft.com/office/drawing/2014/chart" uri="{C3380CC4-5D6E-409C-BE32-E72D297353CC}">
              <c16:uniqueId val="{00000007-196E-4279-BA43-8474C7313972}"/>
            </c:ext>
          </c:extLst>
        </c:ser>
        <c:ser>
          <c:idx val="4"/>
          <c:order val="4"/>
          <c:tx>
            <c:strRef>
              <c:f>average!$H$4:$H$6</c:f>
              <c:strCache>
                <c:ptCount val="1"/>
                <c:pt idx="0">
                  <c:v>NORMAL - Average of Speed</c:v>
                </c:pt>
              </c:strCache>
            </c:strRef>
          </c:tx>
          <c:spPr>
            <a:ln w="34925" cap="rnd">
              <a:solidFill>
                <a:schemeClr val="accent4">
                  <a:lumMod val="60000"/>
                </a:schemeClr>
              </a:solidFill>
              <a:prstDash val="solid"/>
              <a:round/>
            </a:ln>
          </c:spPr>
          <c:invertIfNegative val="0"/>
          <c:cat>
            <c:strRef>
              <c:f>average!$C$7:$C$13</c:f>
              <c:strCache>
                <c:ptCount val="6"/>
                <c:pt idx="0">
                  <c:v>1</c:v>
                </c:pt>
                <c:pt idx="1">
                  <c:v>2</c:v>
                </c:pt>
                <c:pt idx="2">
                  <c:v>3</c:v>
                </c:pt>
                <c:pt idx="3">
                  <c:v>4</c:v>
                </c:pt>
                <c:pt idx="4">
                  <c:v>5</c:v>
                </c:pt>
                <c:pt idx="5">
                  <c:v>6</c:v>
                </c:pt>
              </c:strCache>
            </c:strRef>
          </c:cat>
          <c:val>
            <c:numRef>
              <c:f>average!$H$7:$H$13</c:f>
              <c:numCache>
                <c:formatCode>General</c:formatCode>
                <c:ptCount val="6"/>
                <c:pt idx="0">
                  <c:v>69.891891891891888</c:v>
                </c:pt>
                <c:pt idx="1">
                  <c:v>63.377358490566039</c:v>
                </c:pt>
                <c:pt idx="2">
                  <c:v>64.959459459459453</c:v>
                </c:pt>
                <c:pt idx="3">
                  <c:v>71</c:v>
                </c:pt>
                <c:pt idx="4">
                  <c:v>67.565217391304344</c:v>
                </c:pt>
                <c:pt idx="5">
                  <c:v>69.20930232558139</c:v>
                </c:pt>
              </c:numCache>
            </c:numRef>
          </c:val>
          <c:extLst>
            <c:ext xmlns:c16="http://schemas.microsoft.com/office/drawing/2014/chart" uri="{C3380CC4-5D6E-409C-BE32-E72D297353CC}">
              <c16:uniqueId val="{00000008-196E-4279-BA43-8474C7313972}"/>
            </c:ext>
          </c:extLst>
        </c:ser>
        <c:ser>
          <c:idx val="5"/>
          <c:order val="5"/>
          <c:tx>
            <c:strRef>
              <c:f>average!$I$4:$I$6</c:f>
              <c:strCache>
                <c:ptCount val="1"/>
                <c:pt idx="0">
                  <c:v>NORMAL - Average of Defense</c:v>
                </c:pt>
              </c:strCache>
            </c:strRef>
          </c:tx>
          <c:spPr>
            <a:ln w="34925" cap="rnd">
              <a:solidFill>
                <a:schemeClr val="accent6">
                  <a:lumMod val="60000"/>
                </a:schemeClr>
              </a:solidFill>
              <a:prstDash val="solid"/>
              <a:round/>
            </a:ln>
          </c:spPr>
          <c:invertIfNegative val="0"/>
          <c:cat>
            <c:strRef>
              <c:f>average!$C$7:$C$13</c:f>
              <c:strCache>
                <c:ptCount val="6"/>
                <c:pt idx="0">
                  <c:v>1</c:v>
                </c:pt>
                <c:pt idx="1">
                  <c:v>2</c:v>
                </c:pt>
                <c:pt idx="2">
                  <c:v>3</c:v>
                </c:pt>
                <c:pt idx="3">
                  <c:v>4</c:v>
                </c:pt>
                <c:pt idx="4">
                  <c:v>5</c:v>
                </c:pt>
                <c:pt idx="5">
                  <c:v>6</c:v>
                </c:pt>
              </c:strCache>
            </c:strRef>
          </c:cat>
          <c:val>
            <c:numRef>
              <c:f>average!$I$7:$I$13</c:f>
              <c:numCache>
                <c:formatCode>General</c:formatCode>
                <c:ptCount val="6"/>
                <c:pt idx="0">
                  <c:v>76.243243243243242</c:v>
                </c:pt>
                <c:pt idx="1">
                  <c:v>79.679245283018872</c:v>
                </c:pt>
                <c:pt idx="2">
                  <c:v>74.824324324324323</c:v>
                </c:pt>
                <c:pt idx="3">
                  <c:v>81.032786885245898</c:v>
                </c:pt>
                <c:pt idx="4">
                  <c:v>75.173913043478265</c:v>
                </c:pt>
                <c:pt idx="5">
                  <c:v>80.720930232558146</c:v>
                </c:pt>
              </c:numCache>
            </c:numRef>
          </c:val>
          <c:extLst>
            <c:ext xmlns:c16="http://schemas.microsoft.com/office/drawing/2014/chart" uri="{C3380CC4-5D6E-409C-BE32-E72D297353CC}">
              <c16:uniqueId val="{00000009-196E-4279-BA43-8474C7313972}"/>
            </c:ext>
          </c:extLst>
        </c:ser>
        <c:dLbls>
          <c:showLegendKey val="0"/>
          <c:showVal val="0"/>
          <c:showCatName val="0"/>
          <c:showSerName val="0"/>
          <c:showPercent val="0"/>
          <c:showBubbleSize val="0"/>
        </c:dLbls>
        <c:gapWidth val="219"/>
        <c:overlap val="-27"/>
        <c:axId val="788081760"/>
        <c:axId val="788089920"/>
      </c:barChart>
      <c:catAx>
        <c:axId val="7880817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8089920"/>
        <c:crosses val="autoZero"/>
        <c:auto val="1"/>
        <c:lblAlgn val="ctr"/>
        <c:lblOffset val="100"/>
        <c:noMultiLvlLbl val="0"/>
      </c:catAx>
      <c:valAx>
        <c:axId val="7880899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808176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[pokemon dashboard.xlsx]count!PivotTable6</c:name>
    <c:fmtId val="31"/>
  </c:pivotSource>
  <c:chart>
    <c:autoTitleDeleted val="1"/>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51485960707396E-2"/>
          <c:y val="3.3183931677264474E-2"/>
          <c:w val="0.89019685039370078"/>
          <c:h val="0.76094670457859437"/>
        </c:manualLayout>
      </c:layout>
      <c:lineChart>
        <c:grouping val="standard"/>
        <c:varyColors val="0"/>
        <c:ser>
          <c:idx val="0"/>
          <c:order val="0"/>
          <c:tx>
            <c:strRef>
              <c:f>count!$M$4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count!$L$5:$L$23</c:f>
              <c:strCache>
                <c:ptCount val="18"/>
                <c:pt idx="0">
                  <c:v>Bug</c:v>
                </c:pt>
                <c:pt idx="1">
                  <c:v>Dark</c:v>
                </c:pt>
                <c:pt idx="2">
                  <c:v>Dragon</c:v>
                </c:pt>
                <c:pt idx="3">
                  <c:v>Electric</c:v>
                </c:pt>
                <c:pt idx="4">
                  <c:v>Fairy</c:v>
                </c:pt>
                <c:pt idx="5">
                  <c:v>Fighting</c:v>
                </c:pt>
                <c:pt idx="6">
                  <c:v>Fire</c:v>
                </c:pt>
                <c:pt idx="7">
                  <c:v>Flying</c:v>
                </c:pt>
                <c:pt idx="8">
                  <c:v>Ghost</c:v>
                </c:pt>
                <c:pt idx="9">
                  <c:v>Grass</c:v>
                </c:pt>
                <c:pt idx="10">
                  <c:v>Ground</c:v>
                </c:pt>
                <c:pt idx="11">
                  <c:v>Ice</c:v>
                </c:pt>
                <c:pt idx="12">
                  <c:v>Normal</c:v>
                </c:pt>
                <c:pt idx="13">
                  <c:v>Poison</c:v>
                </c:pt>
                <c:pt idx="14">
                  <c:v>Psychic</c:v>
                </c:pt>
                <c:pt idx="15">
                  <c:v>Rock</c:v>
                </c:pt>
                <c:pt idx="16">
                  <c:v>Steel</c:v>
                </c:pt>
                <c:pt idx="17">
                  <c:v>Water</c:v>
                </c:pt>
              </c:strCache>
            </c:strRef>
          </c:cat>
          <c:val>
            <c:numRef>
              <c:f>count!$M$5:$M$23</c:f>
              <c:numCache>
                <c:formatCode>General</c:formatCode>
                <c:ptCount val="18"/>
                <c:pt idx="0">
                  <c:v>3</c:v>
                </c:pt>
                <c:pt idx="1">
                  <c:v>20</c:v>
                </c:pt>
                <c:pt idx="2">
                  <c:v>18</c:v>
                </c:pt>
                <c:pt idx="3">
                  <c:v>6</c:v>
                </c:pt>
                <c:pt idx="4">
                  <c:v>23</c:v>
                </c:pt>
                <c:pt idx="5">
                  <c:v>26</c:v>
                </c:pt>
                <c:pt idx="6">
                  <c:v>12</c:v>
                </c:pt>
                <c:pt idx="7">
                  <c:v>97</c:v>
                </c:pt>
                <c:pt idx="8">
                  <c:v>14</c:v>
                </c:pt>
                <c:pt idx="9">
                  <c:v>25</c:v>
                </c:pt>
                <c:pt idx="10">
                  <c:v>35</c:v>
                </c:pt>
                <c:pt idx="11">
                  <c:v>14</c:v>
                </c:pt>
                <c:pt idx="12">
                  <c:v>4</c:v>
                </c:pt>
                <c:pt idx="13">
                  <c:v>34</c:v>
                </c:pt>
                <c:pt idx="14">
                  <c:v>33</c:v>
                </c:pt>
                <c:pt idx="15">
                  <c:v>14</c:v>
                </c:pt>
                <c:pt idx="16">
                  <c:v>22</c:v>
                </c:pt>
                <c:pt idx="17">
                  <c:v>14</c:v>
                </c:pt>
              </c:numCache>
            </c:numRef>
          </c:val>
          <c:smooth val="0"/>
          <c:extLst>
            <c:ext xmlns:c16="http://schemas.microsoft.com/office/drawing/2014/chart" uri="{C3380CC4-5D6E-409C-BE32-E72D297353CC}">
              <c16:uniqueId val="{00000000-4D48-41C8-B365-95218706456E}"/>
            </c:ext>
          </c:extLst>
        </c:ser>
        <c:dLbls>
          <c:showLegendKey val="0"/>
          <c:showVal val="0"/>
          <c:showCatName val="0"/>
          <c:showSerName val="0"/>
          <c:showPercent val="0"/>
          <c:showBubbleSize val="0"/>
        </c:dLbls>
        <c:marker val="1"/>
        <c:smooth val="0"/>
        <c:axId val="254936704"/>
        <c:axId val="254937664"/>
      </c:lineChart>
      <c:catAx>
        <c:axId val="25493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37664"/>
        <c:crosses val="autoZero"/>
        <c:auto val="1"/>
        <c:lblAlgn val="ctr"/>
        <c:lblOffset val="100"/>
        <c:noMultiLvlLbl val="0"/>
      </c:catAx>
      <c:valAx>
        <c:axId val="254937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93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274320</xdr:colOff>
      <xdr:row>9</xdr:row>
      <xdr:rowOff>152400</xdr:rowOff>
    </xdr:from>
    <xdr:to>
      <xdr:col>8</xdr:col>
      <xdr:colOff>274320</xdr:colOff>
      <xdr:row>18</xdr:row>
      <xdr:rowOff>60960</xdr:rowOff>
    </xdr:to>
    <xdr:graphicFrame macro="">
      <xdr:nvGraphicFramePr>
        <xdr:cNvPr id="2" name="Chart 1">
          <a:extLst>
            <a:ext uri="{FF2B5EF4-FFF2-40B4-BE49-F238E27FC236}">
              <a16:creationId xmlns:a16="http://schemas.microsoft.com/office/drawing/2014/main" id="{2009FDA0-750E-CDFF-EA1F-D9EB86268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365760</xdr:colOff>
      <xdr:row>21</xdr:row>
      <xdr:rowOff>99060</xdr:rowOff>
    </xdr:from>
    <xdr:to>
      <xdr:col>6</xdr:col>
      <xdr:colOff>144780</xdr:colOff>
      <xdr:row>28</xdr:row>
      <xdr:rowOff>121920</xdr:rowOff>
    </xdr:to>
    <xdr:graphicFrame macro="">
      <xdr:nvGraphicFramePr>
        <xdr:cNvPr id="3" name="Chart 2">
          <a:extLst>
            <a:ext uri="{FF2B5EF4-FFF2-40B4-BE49-F238E27FC236}">
              <a16:creationId xmlns:a16="http://schemas.microsoft.com/office/drawing/2014/main" id="{9864E476-C8A3-FAF4-67F5-B0365A91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60960</xdr:colOff>
      <xdr:row>24</xdr:row>
      <xdr:rowOff>15240</xdr:rowOff>
    </xdr:from>
    <xdr:to>
      <xdr:col>21</xdr:col>
      <xdr:colOff>129540</xdr:colOff>
      <xdr:row>39</xdr:row>
      <xdr:rowOff>15240</xdr:rowOff>
    </xdr:to>
    <xdr:graphicFrame macro="">
      <xdr:nvGraphicFramePr>
        <xdr:cNvPr id="4" name="Chart 3">
          <a:extLst>
            <a:ext uri="{FF2B5EF4-FFF2-40B4-BE49-F238E27FC236}">
              <a16:creationId xmlns:a16="http://schemas.microsoft.com/office/drawing/2014/main" id="{93186162-E078-2D08-A3A5-E82C0A28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236220</xdr:colOff>
      <xdr:row>5</xdr:row>
      <xdr:rowOff>68580</xdr:rowOff>
    </xdr:from>
    <xdr:to>
      <xdr:col>11</xdr:col>
      <xdr:colOff>243840</xdr:colOff>
      <xdr:row>18</xdr:row>
      <xdr:rowOff>158115</xdr:rowOff>
    </xdr:to>
    <mc:AlternateContent xmlns:mc="http://schemas.openxmlformats.org/markup-compatibility/2006">
      <mc:Choice xmlns:a14="http://schemas.microsoft.com/office/drawing/2010/main" Requires="a14">
        <xdr:graphicFrame macro="">
          <xdr:nvGraphicFramePr>
            <xdr:cNvPr id="5" name="Type_1">
              <a:extLst>
                <a:ext uri="{FF2B5EF4-FFF2-40B4-BE49-F238E27FC236}">
                  <a16:creationId xmlns:a16="http://schemas.microsoft.com/office/drawing/2014/main" id="{2D8642C8-13A8-6BB6-5AEC-FF70C5CC439A}"/>
                </a:ext>
              </a:extLst>
            </xdr:cNvPr>
            <xdr:cNvGraphicFramePr/>
          </xdr:nvGraphicFramePr>
          <xdr:xfrm>
            <a:off x="0" y="0"/>
            <a:ext cx="0" cy="0"/>
          </xdr:xfrm>
          <a:graphic>
            <a:graphicData uri="http://schemas.microsoft.com/office/drawing/2010/slicer">
              <sle:slicer xmlns:sle="http://schemas.microsoft.com/office/drawing/2010/slicer" name="Type_1"/>
            </a:graphicData>
          </a:graphic>
        </xdr:graphicFrame>
      </mc:Choice>
      <mc:Fallback>
        <xdr:sp macro="" textlink="">
          <xdr:nvSpPr>
            <xdr:cNvPr id="0" name=""/>
            <xdr:cNvSpPr>
              <a:spLocks noTextEdit="1"/>
            </xdr:cNvSpPr>
          </xdr:nvSpPr>
          <xdr:spPr>
            <a:xfrm>
              <a:off x="415290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8</xdr:row>
      <xdr:rowOff>0</xdr:rowOff>
    </xdr:from>
    <xdr:to>
      <xdr:col>11</xdr:col>
      <xdr:colOff>723900</xdr:colOff>
      <xdr:row>21</xdr:row>
      <xdr:rowOff>89535</xdr:rowOff>
    </xdr:to>
    <mc:AlternateContent xmlns:mc="http://schemas.openxmlformats.org/markup-compatibility/2006">
      <mc:Choice xmlns:a14="http://schemas.microsoft.com/office/drawing/2010/main" Requires="a14">
        <xdr:graphicFrame macro="">
          <xdr:nvGraphicFramePr>
            <xdr:cNvPr id="6" name="Generation">
              <a:extLst>
                <a:ext uri="{FF2B5EF4-FFF2-40B4-BE49-F238E27FC236}">
                  <a16:creationId xmlns:a16="http://schemas.microsoft.com/office/drawing/2014/main" id="{64CBFABA-124F-B42E-1ED8-872857A67EE0}"/>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dr:sp macro="" textlink="">
          <xdr:nvSpPr>
            <xdr:cNvPr id="0" name=""/>
            <xdr:cNvSpPr>
              <a:spLocks noTextEdit="1"/>
            </xdr:cNvSpPr>
          </xdr:nvSpPr>
          <xdr:spPr>
            <a:xfrm>
              <a:off x="4632960" y="1463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xdr:colOff>
      <xdr:row>10</xdr:row>
      <xdr:rowOff>114300</xdr:rowOff>
    </xdr:from>
    <xdr:to>
      <xdr:col>12</xdr:col>
      <xdr:colOff>342900</xdr:colOff>
      <xdr:row>24</xdr:row>
      <xdr:rowOff>20955</xdr:rowOff>
    </xdr:to>
    <mc:AlternateContent xmlns:mc="http://schemas.openxmlformats.org/markup-compatibility/2006">
      <mc:Choice xmlns:a14="http://schemas.microsoft.com/office/drawing/2010/main" Requires="a14">
        <xdr:graphicFrame macro="">
          <xdr:nvGraphicFramePr>
            <xdr:cNvPr id="7" name="Legendary/normal">
              <a:extLst>
                <a:ext uri="{FF2B5EF4-FFF2-40B4-BE49-F238E27FC236}">
                  <a16:creationId xmlns:a16="http://schemas.microsoft.com/office/drawing/2014/main" id="{7A5FFEEB-098A-2C77-559E-C9C583D5ADA9}"/>
                </a:ext>
              </a:extLst>
            </xdr:cNvPr>
            <xdr:cNvGraphicFramePr/>
          </xdr:nvGraphicFramePr>
          <xdr:xfrm>
            <a:off x="0" y="0"/>
            <a:ext cx="0" cy="0"/>
          </xdr:xfrm>
          <a:graphic>
            <a:graphicData uri="http://schemas.microsoft.com/office/drawing/2010/slicer">
              <sle:slicer xmlns:sle="http://schemas.microsoft.com/office/drawing/2010/slicer" name="Legendary/normal"/>
            </a:graphicData>
          </a:graphic>
        </xdr:graphicFrame>
      </mc:Choice>
      <mc:Fallback>
        <xdr:sp macro="" textlink="">
          <xdr:nvSpPr>
            <xdr:cNvPr id="0" name=""/>
            <xdr:cNvSpPr>
              <a:spLocks noTextEdit="1"/>
            </xdr:cNvSpPr>
          </xdr:nvSpPr>
          <xdr:spPr>
            <a:xfrm>
              <a:off x="5113020" y="1943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152400</xdr:colOff>
      <xdr:row>7</xdr:row>
      <xdr:rowOff>41910</xdr:rowOff>
    </xdr:from>
    <xdr:to>
      <xdr:col>13</xdr:col>
      <xdr:colOff>152400</xdr:colOff>
      <xdr:row>22</xdr:row>
      <xdr:rowOff>41910</xdr:rowOff>
    </xdr:to>
    <xdr:graphicFrame macro="">
      <xdr:nvGraphicFramePr>
        <xdr:cNvPr id="10" name="Chart 9">
          <a:extLst>
            <a:ext uri="{FF2B5EF4-FFF2-40B4-BE49-F238E27FC236}">
              <a16:creationId xmlns:a16="http://schemas.microsoft.com/office/drawing/2014/main" id="{5B95D42A-378A-03DC-26DC-F805D7E55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838200</xdr:colOff>
      <xdr:row>7</xdr:row>
      <xdr:rowOff>45720</xdr:rowOff>
    </xdr:from>
    <xdr:to>
      <xdr:col>10</xdr:col>
      <xdr:colOff>579120</xdr:colOff>
      <xdr:row>22</xdr:row>
      <xdr:rowOff>45720</xdr:rowOff>
    </xdr:to>
    <xdr:graphicFrame macro="">
      <xdr:nvGraphicFramePr>
        <xdr:cNvPr id="2" name="Chart 1">
          <a:extLst>
            <a:ext uri="{FF2B5EF4-FFF2-40B4-BE49-F238E27FC236}">
              <a16:creationId xmlns:a16="http://schemas.microsoft.com/office/drawing/2014/main" id="{92091EBC-EAB6-FFA2-38D2-476DC8EA3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166254</xdr:colOff>
      <xdr:row>4</xdr:row>
      <xdr:rowOff>152401</xdr:rowOff>
    </xdr:from>
    <xdr:to>
      <xdr:col>30</xdr:col>
      <xdr:colOff>0</xdr:colOff>
      <xdr:row>30</xdr:row>
      <xdr:rowOff>13855</xdr:rowOff>
    </xdr:to>
    <xdr:sp macro="" textlink="">
      <xdr:nvSpPr>
        <xdr:cNvPr id="19" name="Rectangle: Rounded Corners 18">
          <a:extLst>
            <a:ext uri="{FF2B5EF4-FFF2-40B4-BE49-F238E27FC236}">
              <a16:creationId xmlns:a16="http://schemas.microsoft.com/office/drawing/2014/main" id="{3CE50FAA-085A-6BE0-5772-DC2845080E3F}"/>
            </a:ext>
          </a:extLst>
        </xdr:cNvPr>
        <xdr:cNvSpPr/>
      </xdr:nvSpPr>
      <xdr:spPr>
        <a:xfrm>
          <a:off x="16015854" y="872837"/>
          <a:ext cx="2272146" cy="4558145"/>
        </a:xfrm>
        <a:prstGeom prst="roundRect">
          <a:avLst>
            <a:gd name="adj" fmla="val 8462"/>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575195</xdr:colOff>
      <xdr:row>0</xdr:row>
      <xdr:rowOff>0</xdr:rowOff>
    </xdr:from>
    <xdr:ext cx="4975860" cy="541020"/>
    <xdr:sp macro="" textlink="">
      <xdr:nvSpPr>
        <xdr:cNvPr id="2" name="TextBox 1">
          <a:extLst>
            <a:ext uri="{FF2B5EF4-FFF2-40B4-BE49-F238E27FC236}">
              <a16:creationId xmlns:a16="http://schemas.microsoft.com/office/drawing/2014/main" id="{22E06A26-0CAE-DC5F-4443-4609068FFEBA}"/>
            </a:ext>
          </a:extLst>
        </xdr:cNvPr>
        <xdr:cNvSpPr txBox="1"/>
      </xdr:nvSpPr>
      <xdr:spPr>
        <a:xfrm>
          <a:off x="7890395" y="0"/>
          <a:ext cx="4975860" cy="541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i="0" u="sng">
              <a:solidFill>
                <a:schemeClr val="accent4">
                  <a:lumMod val="60000"/>
                  <a:lumOff val="40000"/>
                </a:schemeClr>
              </a:solidFill>
            </a:rPr>
            <a:t>Pokémon</a:t>
          </a:r>
        </a:p>
      </xdr:txBody>
    </xdr:sp>
    <xdr:clientData/>
  </xdr:oneCellAnchor>
  <xdr:oneCellAnchor>
    <xdr:from>
      <xdr:col>15</xdr:col>
      <xdr:colOff>506692</xdr:colOff>
      <xdr:row>2</xdr:row>
      <xdr:rowOff>61807</xdr:rowOff>
    </xdr:from>
    <xdr:ext cx="1536215" cy="314573"/>
    <xdr:sp macro="" textlink="">
      <xdr:nvSpPr>
        <xdr:cNvPr id="3" name="TextBox 2">
          <a:extLst>
            <a:ext uri="{FF2B5EF4-FFF2-40B4-BE49-F238E27FC236}">
              <a16:creationId xmlns:a16="http://schemas.microsoft.com/office/drawing/2014/main" id="{0040CDA0-92BF-586B-009A-8201D6C78C03}"/>
            </a:ext>
          </a:extLst>
        </xdr:cNvPr>
        <xdr:cNvSpPr txBox="1"/>
      </xdr:nvSpPr>
      <xdr:spPr>
        <a:xfrm>
          <a:off x="9650692" y="422025"/>
          <a:ext cx="1536215" cy="314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u="sng">
              <a:solidFill>
                <a:schemeClr val="tx1">
                  <a:lumMod val="50000"/>
                  <a:lumOff val="50000"/>
                </a:schemeClr>
              </a:solidFill>
              <a:latin typeface="Aptos Display" panose="020B0004020202020204" pitchFamily="34" charset="0"/>
            </a:rPr>
            <a:t>Species Overview</a:t>
          </a:r>
        </a:p>
      </xdr:txBody>
    </xdr:sp>
    <xdr:clientData/>
  </xdr:oneCellAnchor>
  <xdr:twoCellAnchor>
    <xdr:from>
      <xdr:col>12</xdr:col>
      <xdr:colOff>415636</xdr:colOff>
      <xdr:row>0</xdr:row>
      <xdr:rowOff>155557</xdr:rowOff>
    </xdr:from>
    <xdr:to>
      <xdr:col>14</xdr:col>
      <xdr:colOff>112915</xdr:colOff>
      <xdr:row>4</xdr:row>
      <xdr:rowOff>124691</xdr:rowOff>
    </xdr:to>
    <xdr:sp macro="" textlink="">
      <xdr:nvSpPr>
        <xdr:cNvPr id="4" name="Cloud 3">
          <a:extLst>
            <a:ext uri="{FF2B5EF4-FFF2-40B4-BE49-F238E27FC236}">
              <a16:creationId xmlns:a16="http://schemas.microsoft.com/office/drawing/2014/main" id="{4D518C27-6C46-EE2B-5BD9-249A42F5EFC1}"/>
            </a:ext>
          </a:extLst>
        </xdr:cNvPr>
        <xdr:cNvSpPr/>
      </xdr:nvSpPr>
      <xdr:spPr>
        <a:xfrm>
          <a:off x="7730836" y="155557"/>
          <a:ext cx="916479" cy="689570"/>
        </a:xfrm>
        <a:prstGeom prst="cloud">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415637</xdr:colOff>
      <xdr:row>0</xdr:row>
      <xdr:rowOff>100984</xdr:rowOff>
    </xdr:from>
    <xdr:to>
      <xdr:col>21</xdr:col>
      <xdr:colOff>26862</xdr:colOff>
      <xdr:row>4</xdr:row>
      <xdr:rowOff>83127</xdr:rowOff>
    </xdr:to>
    <xdr:sp macro="" textlink="">
      <xdr:nvSpPr>
        <xdr:cNvPr id="5" name="Cloud 4">
          <a:extLst>
            <a:ext uri="{FF2B5EF4-FFF2-40B4-BE49-F238E27FC236}">
              <a16:creationId xmlns:a16="http://schemas.microsoft.com/office/drawing/2014/main" id="{FB60BE45-E303-D4E9-C4A9-CE3BD096A157}"/>
            </a:ext>
          </a:extLst>
        </xdr:cNvPr>
        <xdr:cNvSpPr/>
      </xdr:nvSpPr>
      <xdr:spPr>
        <a:xfrm>
          <a:off x="11998037" y="100984"/>
          <a:ext cx="830425" cy="702579"/>
        </a:xfrm>
        <a:prstGeom prst="cloud">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511925</xdr:colOff>
      <xdr:row>4</xdr:row>
      <xdr:rowOff>132311</xdr:rowOff>
    </xdr:from>
    <xdr:to>
      <xdr:col>11</xdr:col>
      <xdr:colOff>542405</xdr:colOff>
      <xdr:row>16</xdr:row>
      <xdr:rowOff>104602</xdr:rowOff>
    </xdr:to>
    <xdr:graphicFrame macro="">
      <xdr:nvGraphicFramePr>
        <xdr:cNvPr id="6" name="Chart 5">
          <a:extLst>
            <a:ext uri="{FF2B5EF4-FFF2-40B4-BE49-F238E27FC236}">
              <a16:creationId xmlns:a16="http://schemas.microsoft.com/office/drawing/2014/main" id="{8C9AC88F-4F55-4C68-B9C7-3A6A7A6B7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27709</xdr:colOff>
      <xdr:row>17</xdr:row>
      <xdr:rowOff>59054</xdr:rowOff>
    </xdr:from>
    <xdr:to>
      <xdr:col>18</xdr:col>
      <xdr:colOff>512618</xdr:colOff>
      <xdr:row>30</xdr:row>
      <xdr:rowOff>0</xdr:rowOff>
    </xdr:to>
    <xdr:graphicFrame macro="">
      <xdr:nvGraphicFramePr>
        <xdr:cNvPr id="7" name="Chart 6">
          <a:extLst>
            <a:ext uri="{FF2B5EF4-FFF2-40B4-BE49-F238E27FC236}">
              <a16:creationId xmlns:a16="http://schemas.microsoft.com/office/drawing/2014/main" id="{E9119085-087B-41F3-8608-6CD0771BD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17813</xdr:colOff>
      <xdr:row>4</xdr:row>
      <xdr:rowOff>180108</xdr:rowOff>
    </xdr:from>
    <xdr:to>
      <xdr:col>18</xdr:col>
      <xdr:colOff>475013</xdr:colOff>
      <xdr:row>16</xdr:row>
      <xdr:rowOff>130628</xdr:rowOff>
    </xdr:to>
    <xdr:graphicFrame macro="">
      <xdr:nvGraphicFramePr>
        <xdr:cNvPr id="8" name="Chart 7">
          <a:extLst>
            <a:ext uri="{FF2B5EF4-FFF2-40B4-BE49-F238E27FC236}">
              <a16:creationId xmlns:a16="http://schemas.microsoft.com/office/drawing/2014/main" id="{CDABABBF-5769-4F19-8247-61C7C00A3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41563</xdr:colOff>
      <xdr:row>17</xdr:row>
      <xdr:rowOff>83127</xdr:rowOff>
    </xdr:from>
    <xdr:to>
      <xdr:col>26</xdr:col>
      <xdr:colOff>110836</xdr:colOff>
      <xdr:row>30</xdr:row>
      <xdr:rowOff>41565</xdr:rowOff>
    </xdr:to>
    <xdr:graphicFrame macro="">
      <xdr:nvGraphicFramePr>
        <xdr:cNvPr id="10" name="Chart 9">
          <a:extLst>
            <a:ext uri="{FF2B5EF4-FFF2-40B4-BE49-F238E27FC236}">
              <a16:creationId xmlns:a16="http://schemas.microsoft.com/office/drawing/2014/main" id="{EF3A2277-A9C9-4817-8878-A45586127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387928</xdr:colOff>
      <xdr:row>4</xdr:row>
      <xdr:rowOff>110836</xdr:rowOff>
    </xdr:from>
    <xdr:ext cx="3094123" cy="4702304"/>
    <xdr:sp macro="" textlink="">
      <xdr:nvSpPr>
        <xdr:cNvPr id="11" name="TextBox 10">
          <a:extLst>
            <a:ext uri="{FF2B5EF4-FFF2-40B4-BE49-F238E27FC236}">
              <a16:creationId xmlns:a16="http://schemas.microsoft.com/office/drawing/2014/main" id="{4A34C614-6F7F-4CC6-A6D2-3EA52BDC9DB6}"/>
            </a:ext>
          </a:extLst>
        </xdr:cNvPr>
        <xdr:cNvSpPr txBox="1"/>
      </xdr:nvSpPr>
      <xdr:spPr>
        <a:xfrm>
          <a:off x="387928" y="843899"/>
          <a:ext cx="3094123" cy="4702304"/>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1">
              <a:solidFill>
                <a:schemeClr val="tx1"/>
              </a:solidFill>
              <a:latin typeface="+mn-lt"/>
              <a:ea typeface="+mn-ea"/>
              <a:cs typeface="+mn-cs"/>
            </a:rPr>
            <a:t>📌 Key Insights</a:t>
          </a:r>
        </a:p>
        <a:p>
          <a:pPr marL="0" indent="0" algn="ctr"/>
          <a:endParaRPr lang="en-IN" sz="2000" b="1">
            <a:solidFill>
              <a:schemeClr val="tx1"/>
            </a:solidFill>
            <a:latin typeface="+mn-lt"/>
            <a:ea typeface="+mn-ea"/>
            <a:cs typeface="+mn-cs"/>
          </a:endParaRPr>
        </a:p>
        <a:p>
          <a:pPr marL="0" indent="0" algn="ctr"/>
          <a:r>
            <a:rPr lang="en-IN" sz="2000" b="1">
              <a:solidFill>
                <a:schemeClr val="tx1"/>
              </a:solidFill>
              <a:latin typeface="+mn-lt"/>
              <a:ea typeface="+mn-ea"/>
              <a:cs typeface="+mn-cs"/>
            </a:rPr>
            <a:t>• Generation 4 contains strong defensive Pokémon</a:t>
          </a:r>
        </a:p>
        <a:p>
          <a:pPr marL="0" indent="0" algn="ctr"/>
          <a:r>
            <a:rPr lang="en-IN" sz="2000" b="1">
              <a:solidFill>
                <a:schemeClr val="tx1"/>
              </a:solidFill>
              <a:latin typeface="+mn-lt"/>
              <a:ea typeface="+mn-ea"/>
              <a:cs typeface="+mn-cs"/>
            </a:rPr>
            <a:t>• Normal Pokémon appear more frequently than Legendary</a:t>
          </a:r>
        </a:p>
        <a:p>
          <a:pPr marL="0" indent="0" algn="ctr"/>
          <a:r>
            <a:rPr lang="en-IN" sz="2000" b="1">
              <a:solidFill>
                <a:schemeClr val="tx1"/>
              </a:solidFill>
              <a:latin typeface="+mn-lt"/>
              <a:ea typeface="+mn-ea"/>
              <a:cs typeface="+mn-cs"/>
            </a:rPr>
            <a:t>• Flying and Rock types show consistent representation</a:t>
          </a:r>
        </a:p>
        <a:p>
          <a:pPr marL="0" indent="0" algn="ctr"/>
          <a:r>
            <a:rPr lang="en-IN" sz="2000" b="1">
              <a:solidFill>
                <a:schemeClr val="tx1"/>
              </a:solidFill>
              <a:latin typeface="+mn-lt"/>
              <a:ea typeface="+mn-ea"/>
              <a:cs typeface="+mn-cs"/>
            </a:rPr>
            <a:t>• Defense stats remain higher across selected filters</a:t>
          </a:r>
        </a:p>
      </xdr:txBody>
    </xdr:sp>
    <xdr:clientData/>
  </xdr:oneCellAnchor>
  <xdr:twoCellAnchor>
    <xdr:from>
      <xdr:col>5</xdr:col>
      <xdr:colOff>175990</xdr:colOff>
      <xdr:row>3</xdr:row>
      <xdr:rowOff>21190</xdr:rowOff>
    </xdr:from>
    <xdr:to>
      <xdr:col>6</xdr:col>
      <xdr:colOff>67915</xdr:colOff>
      <xdr:row>5</xdr:row>
      <xdr:rowOff>142620</xdr:rowOff>
    </xdr:to>
    <xdr:sp macro="" textlink="">
      <xdr:nvSpPr>
        <xdr:cNvPr id="12" name="Star: 4 Points 11">
          <a:extLst>
            <a:ext uri="{FF2B5EF4-FFF2-40B4-BE49-F238E27FC236}">
              <a16:creationId xmlns:a16="http://schemas.microsoft.com/office/drawing/2014/main" id="{440E47F8-06DE-8E5F-08CB-B3046C61DEE0}"/>
            </a:ext>
          </a:extLst>
        </xdr:cNvPr>
        <xdr:cNvSpPr/>
      </xdr:nvSpPr>
      <xdr:spPr>
        <a:xfrm>
          <a:off x="3223990" y="561517"/>
          <a:ext cx="501525" cy="481648"/>
        </a:xfrm>
        <a:prstGeom prst="star4">
          <a:avLst>
            <a:gd name="adj" fmla="val 18160"/>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152362</xdr:colOff>
      <xdr:row>0</xdr:row>
      <xdr:rowOff>0</xdr:rowOff>
    </xdr:from>
    <xdr:to>
      <xdr:col>15</xdr:col>
      <xdr:colOff>426893</xdr:colOff>
      <xdr:row>5</xdr:row>
      <xdr:rowOff>0</xdr:rowOff>
    </xdr:to>
    <xdr:pic>
      <xdr:nvPicPr>
        <xdr:cNvPr id="14" name="Picture 13">
          <a:extLst>
            <a:ext uri="{FF2B5EF4-FFF2-40B4-BE49-F238E27FC236}">
              <a16:creationId xmlns:a16="http://schemas.microsoft.com/office/drawing/2014/main" id="{5EBED590-C343-083F-E055-061E686E56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86762" y="0"/>
          <a:ext cx="884131" cy="900545"/>
        </a:xfrm>
        <a:prstGeom prst="rect">
          <a:avLst/>
        </a:prstGeom>
      </xdr:spPr>
    </xdr:pic>
    <xdr:clientData/>
  </xdr:twoCellAnchor>
  <xdr:twoCellAnchor editAs="oneCell">
    <xdr:from>
      <xdr:col>18</xdr:col>
      <xdr:colOff>110065</xdr:colOff>
      <xdr:row>0</xdr:row>
      <xdr:rowOff>0</xdr:rowOff>
    </xdr:from>
    <xdr:to>
      <xdr:col>20</xdr:col>
      <xdr:colOff>38099</xdr:colOff>
      <xdr:row>4</xdr:row>
      <xdr:rowOff>158075</xdr:rowOff>
    </xdr:to>
    <xdr:pic>
      <xdr:nvPicPr>
        <xdr:cNvPr id="16" name="Picture 15">
          <a:extLst>
            <a:ext uri="{FF2B5EF4-FFF2-40B4-BE49-F238E27FC236}">
              <a16:creationId xmlns:a16="http://schemas.microsoft.com/office/drawing/2014/main" id="{9312FE3E-5A3D-0DBC-9CF4-D61ED8294A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082865" y="0"/>
          <a:ext cx="1147234" cy="878511"/>
        </a:xfrm>
        <a:prstGeom prst="rect">
          <a:avLst/>
        </a:prstGeom>
      </xdr:spPr>
    </xdr:pic>
    <xdr:clientData/>
  </xdr:twoCellAnchor>
  <xdr:twoCellAnchor editAs="oneCell">
    <xdr:from>
      <xdr:col>26</xdr:col>
      <xdr:colOff>387928</xdr:colOff>
      <xdr:row>5</xdr:row>
      <xdr:rowOff>124691</xdr:rowOff>
    </xdr:from>
    <xdr:to>
      <xdr:col>29</xdr:col>
      <xdr:colOff>387928</xdr:colOff>
      <xdr:row>13</xdr:row>
      <xdr:rowOff>124690</xdr:rowOff>
    </xdr:to>
    <mc:AlternateContent xmlns:mc="http://schemas.openxmlformats.org/markup-compatibility/2006">
      <mc:Choice xmlns:a14="http://schemas.microsoft.com/office/drawing/2010/main" Requires="a14">
        <xdr:graphicFrame macro="">
          <xdr:nvGraphicFramePr>
            <xdr:cNvPr id="15" name="Type_1 1">
              <a:extLst>
                <a:ext uri="{FF2B5EF4-FFF2-40B4-BE49-F238E27FC236}">
                  <a16:creationId xmlns:a16="http://schemas.microsoft.com/office/drawing/2014/main" id="{300E872B-289F-4729-8B9B-170CF88B27E2}"/>
                </a:ext>
              </a:extLst>
            </xdr:cNvPr>
            <xdr:cNvGraphicFramePr/>
          </xdr:nvGraphicFramePr>
          <xdr:xfrm>
            <a:off x="0" y="0"/>
            <a:ext cx="0" cy="0"/>
          </xdr:xfrm>
          <a:graphic>
            <a:graphicData uri="http://schemas.microsoft.com/office/drawing/2010/slicer">
              <sle:slicer xmlns:sle="http://schemas.microsoft.com/office/drawing/2010/slicer" name="Type_1 1"/>
            </a:graphicData>
          </a:graphic>
        </xdr:graphicFrame>
      </mc:Choice>
      <mc:Fallback>
        <xdr:sp macro="" textlink="">
          <xdr:nvSpPr>
            <xdr:cNvPr id="0" name=""/>
            <xdr:cNvSpPr>
              <a:spLocks noTextEdit="1"/>
            </xdr:cNvSpPr>
          </xdr:nvSpPr>
          <xdr:spPr>
            <a:xfrm>
              <a:off x="16187371" y="1041020"/>
              <a:ext cx="1823013" cy="1466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396934</xdr:colOff>
      <xdr:row>14</xdr:row>
      <xdr:rowOff>9004</xdr:rowOff>
    </xdr:from>
    <xdr:to>
      <xdr:col>29</xdr:col>
      <xdr:colOff>396934</xdr:colOff>
      <xdr:row>22</xdr:row>
      <xdr:rowOff>110835</xdr:rowOff>
    </xdr:to>
    <mc:AlternateContent xmlns:mc="http://schemas.openxmlformats.org/markup-compatibility/2006">
      <mc:Choice xmlns:a14="http://schemas.microsoft.com/office/drawing/2010/main" Requires="a14">
        <xdr:graphicFrame macro="">
          <xdr:nvGraphicFramePr>
            <xdr:cNvPr id="17" name="Generation 1">
              <a:extLst>
                <a:ext uri="{FF2B5EF4-FFF2-40B4-BE49-F238E27FC236}">
                  <a16:creationId xmlns:a16="http://schemas.microsoft.com/office/drawing/2014/main" id="{09F5825B-0EE0-490C-901D-C1A6BDB48641}"/>
                </a:ext>
              </a:extLst>
            </xdr:cNvPr>
            <xdr:cNvGraphicFramePr/>
          </xdr:nvGraphicFramePr>
          <xdr:xfrm>
            <a:off x="0" y="0"/>
            <a:ext cx="0" cy="0"/>
          </xdr:xfrm>
          <a:graphic>
            <a:graphicData uri="http://schemas.microsoft.com/office/drawing/2010/slicer">
              <sle:slicer xmlns:sle="http://schemas.microsoft.com/office/drawing/2010/slicer" name="Generation 1"/>
            </a:graphicData>
          </a:graphic>
        </xdr:graphicFrame>
      </mc:Choice>
      <mc:Fallback>
        <xdr:sp macro="" textlink="">
          <xdr:nvSpPr>
            <xdr:cNvPr id="0" name=""/>
            <xdr:cNvSpPr>
              <a:spLocks noTextEdit="1"/>
            </xdr:cNvSpPr>
          </xdr:nvSpPr>
          <xdr:spPr>
            <a:xfrm>
              <a:off x="16196377" y="2574726"/>
              <a:ext cx="1823013" cy="1577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419791</xdr:colOff>
      <xdr:row>23</xdr:row>
      <xdr:rowOff>1</xdr:rowOff>
    </xdr:from>
    <xdr:to>
      <xdr:col>29</xdr:col>
      <xdr:colOff>419791</xdr:colOff>
      <xdr:row>28</xdr:row>
      <xdr:rowOff>27709</xdr:rowOff>
    </xdr:to>
    <mc:AlternateContent xmlns:mc="http://schemas.openxmlformats.org/markup-compatibility/2006">
      <mc:Choice xmlns:a14="http://schemas.microsoft.com/office/drawing/2010/main" Requires="a14">
        <xdr:graphicFrame macro="">
          <xdr:nvGraphicFramePr>
            <xdr:cNvPr id="18" name="Legendary/normal 1">
              <a:extLst>
                <a:ext uri="{FF2B5EF4-FFF2-40B4-BE49-F238E27FC236}">
                  <a16:creationId xmlns:a16="http://schemas.microsoft.com/office/drawing/2014/main" id="{CA0161FD-E93B-447F-83C4-860688EBD13C}"/>
                </a:ext>
              </a:extLst>
            </xdr:cNvPr>
            <xdr:cNvGraphicFramePr/>
          </xdr:nvGraphicFramePr>
          <xdr:xfrm>
            <a:off x="0" y="0"/>
            <a:ext cx="0" cy="0"/>
          </xdr:xfrm>
          <a:graphic>
            <a:graphicData uri="http://schemas.microsoft.com/office/drawing/2010/slicer">
              <sle:slicer xmlns:sle="http://schemas.microsoft.com/office/drawing/2010/slicer" name="Legendary/normal 1"/>
            </a:graphicData>
          </a:graphic>
        </xdr:graphicFrame>
      </mc:Choice>
      <mc:Fallback>
        <xdr:sp macro="" textlink="">
          <xdr:nvSpPr>
            <xdr:cNvPr id="0" name=""/>
            <xdr:cNvSpPr>
              <a:spLocks noTextEdit="1"/>
            </xdr:cNvSpPr>
          </xdr:nvSpPr>
          <xdr:spPr>
            <a:xfrm>
              <a:off x="16219234" y="4224760"/>
              <a:ext cx="1823013" cy="944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581891</xdr:colOff>
      <xdr:row>5</xdr:row>
      <xdr:rowOff>0</xdr:rowOff>
    </xdr:from>
    <xdr:to>
      <xdr:col>26</xdr:col>
      <xdr:colOff>69271</xdr:colOff>
      <xdr:row>16</xdr:row>
      <xdr:rowOff>166255</xdr:rowOff>
    </xdr:to>
    <xdr:graphicFrame macro="">
      <xdr:nvGraphicFramePr>
        <xdr:cNvPr id="20" name="Chart 19">
          <a:extLst>
            <a:ext uri="{FF2B5EF4-FFF2-40B4-BE49-F238E27FC236}">
              <a16:creationId xmlns:a16="http://schemas.microsoft.com/office/drawing/2014/main" id="{36EBDCBF-27A0-4F6D-9276-13C706294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526473</xdr:colOff>
      <xdr:row>17</xdr:row>
      <xdr:rowOff>0</xdr:rowOff>
    </xdr:from>
    <xdr:to>
      <xdr:col>8</xdr:col>
      <xdr:colOff>484909</xdr:colOff>
      <xdr:row>23</xdr:row>
      <xdr:rowOff>83127</xdr:rowOff>
    </xdr:to>
    <xdr:sp macro="" textlink="">
      <xdr:nvSpPr>
        <xdr:cNvPr id="21" name="Rectangle: Rounded Corners 20">
          <a:extLst>
            <a:ext uri="{FF2B5EF4-FFF2-40B4-BE49-F238E27FC236}">
              <a16:creationId xmlns:a16="http://schemas.microsoft.com/office/drawing/2014/main" id="{E610DFBD-2D66-FFFA-846E-6BD6AC7986FD}"/>
            </a:ext>
          </a:extLst>
        </xdr:cNvPr>
        <xdr:cNvSpPr/>
      </xdr:nvSpPr>
      <xdr:spPr>
        <a:xfrm>
          <a:off x="3574473" y="3061855"/>
          <a:ext cx="1787236" cy="117763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414</a:t>
          </a:r>
        </a:p>
        <a:p>
          <a:pPr algn="ctr"/>
          <a:r>
            <a:rPr lang="en-IN" sz="2000" b="1">
              <a:solidFill>
                <a:schemeClr val="tx1"/>
              </a:solidFill>
            </a:rPr>
            <a:t>Total pokemons</a:t>
          </a:r>
        </a:p>
      </xdr:txBody>
    </xdr:sp>
    <xdr:clientData/>
  </xdr:twoCellAnchor>
  <xdr:twoCellAnchor>
    <xdr:from>
      <xdr:col>9</xdr:col>
      <xdr:colOff>0</xdr:colOff>
      <xdr:row>17</xdr:row>
      <xdr:rowOff>13854</xdr:rowOff>
    </xdr:from>
    <xdr:to>
      <xdr:col>11</xdr:col>
      <xdr:colOff>512619</xdr:colOff>
      <xdr:row>23</xdr:row>
      <xdr:rowOff>96981</xdr:rowOff>
    </xdr:to>
    <xdr:sp macro="" textlink="">
      <xdr:nvSpPr>
        <xdr:cNvPr id="23" name="Rectangle: Rounded Corners 22">
          <a:extLst>
            <a:ext uri="{FF2B5EF4-FFF2-40B4-BE49-F238E27FC236}">
              <a16:creationId xmlns:a16="http://schemas.microsoft.com/office/drawing/2014/main" id="{F8A1E6BE-635E-47C7-8370-420FF8B075E6}"/>
            </a:ext>
          </a:extLst>
        </xdr:cNvPr>
        <xdr:cNvSpPr/>
      </xdr:nvSpPr>
      <xdr:spPr>
        <a:xfrm>
          <a:off x="5486400" y="3075709"/>
          <a:ext cx="1731819" cy="117763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tx1"/>
              </a:solidFill>
              <a:latin typeface="+mn-lt"/>
              <a:ea typeface="+mn-ea"/>
              <a:cs typeface="+mn-cs"/>
            </a:rPr>
            <a:t>40 </a:t>
          </a:r>
        </a:p>
        <a:p>
          <a:pPr marL="0" indent="0" algn="ctr"/>
          <a:r>
            <a:rPr lang="en-IN" sz="2000" b="1">
              <a:solidFill>
                <a:schemeClr val="tx1"/>
              </a:solidFill>
              <a:latin typeface="+mn-lt"/>
              <a:ea typeface="+mn-ea"/>
              <a:cs typeface="+mn-cs"/>
            </a:rPr>
            <a:t>Legendary</a:t>
          </a:r>
        </a:p>
        <a:p>
          <a:pPr marL="0" indent="0" algn="ctr"/>
          <a:r>
            <a:rPr lang="en-IN" sz="2000" b="1">
              <a:solidFill>
                <a:schemeClr val="tx1"/>
              </a:solidFill>
              <a:latin typeface="+mn-lt"/>
              <a:ea typeface="+mn-ea"/>
              <a:cs typeface="+mn-cs"/>
            </a:rPr>
            <a:t>count</a:t>
          </a:r>
        </a:p>
      </xdr:txBody>
    </xdr:sp>
    <xdr:clientData/>
  </xdr:twoCellAnchor>
  <xdr:twoCellAnchor>
    <xdr:from>
      <xdr:col>5</xdr:col>
      <xdr:colOff>512618</xdr:colOff>
      <xdr:row>23</xdr:row>
      <xdr:rowOff>138545</xdr:rowOff>
    </xdr:from>
    <xdr:to>
      <xdr:col>8</xdr:col>
      <xdr:colOff>498764</xdr:colOff>
      <xdr:row>30</xdr:row>
      <xdr:rowOff>55418</xdr:rowOff>
    </xdr:to>
    <xdr:sp macro="" textlink="">
      <xdr:nvSpPr>
        <xdr:cNvPr id="24" name="Rectangle: Rounded Corners 23">
          <a:extLst>
            <a:ext uri="{FF2B5EF4-FFF2-40B4-BE49-F238E27FC236}">
              <a16:creationId xmlns:a16="http://schemas.microsoft.com/office/drawing/2014/main" id="{AF2FFCA8-966A-4E66-A9AF-02F34D731F85}"/>
            </a:ext>
          </a:extLst>
        </xdr:cNvPr>
        <xdr:cNvSpPr/>
      </xdr:nvSpPr>
      <xdr:spPr>
        <a:xfrm>
          <a:off x="3560618" y="4294909"/>
          <a:ext cx="1814946" cy="117763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tx1"/>
              </a:solidFill>
              <a:latin typeface="+mn-lt"/>
              <a:ea typeface="+mn-ea"/>
              <a:cs typeface="+mn-cs"/>
            </a:rPr>
            <a:t>83.17</a:t>
          </a:r>
        </a:p>
        <a:p>
          <a:pPr marL="0" indent="0" algn="ctr"/>
          <a:r>
            <a:rPr lang="en-IN" sz="2000" b="1">
              <a:solidFill>
                <a:schemeClr val="tx1"/>
              </a:solidFill>
              <a:latin typeface="+mn-lt"/>
              <a:ea typeface="+mn-ea"/>
              <a:cs typeface="+mn-cs"/>
            </a:rPr>
            <a:t>Average</a:t>
          </a:r>
        </a:p>
        <a:p>
          <a:pPr marL="0" indent="0" algn="ctr"/>
          <a:r>
            <a:rPr lang="en-IN" sz="2000" b="1">
              <a:solidFill>
                <a:schemeClr val="tx1"/>
              </a:solidFill>
              <a:latin typeface="+mn-lt"/>
              <a:ea typeface="+mn-ea"/>
              <a:cs typeface="+mn-cs"/>
            </a:rPr>
            <a:t>Attack</a:t>
          </a:r>
        </a:p>
      </xdr:txBody>
    </xdr:sp>
    <xdr:clientData/>
  </xdr:twoCellAnchor>
  <xdr:twoCellAnchor>
    <xdr:from>
      <xdr:col>9</xdr:col>
      <xdr:colOff>9645</xdr:colOff>
      <xdr:row>23</xdr:row>
      <xdr:rowOff>146963</xdr:rowOff>
    </xdr:from>
    <xdr:to>
      <xdr:col>11</xdr:col>
      <xdr:colOff>549973</xdr:colOff>
      <xdr:row>30</xdr:row>
      <xdr:rowOff>63836</xdr:rowOff>
    </xdr:to>
    <xdr:sp macro="" textlink="">
      <xdr:nvSpPr>
        <xdr:cNvPr id="25" name="Rectangle: Rounded Corners 24">
          <a:extLst>
            <a:ext uri="{FF2B5EF4-FFF2-40B4-BE49-F238E27FC236}">
              <a16:creationId xmlns:a16="http://schemas.microsoft.com/office/drawing/2014/main" id="{123316C6-2C02-43E8-8895-5ADF30C50BF9}"/>
            </a:ext>
          </a:extLst>
        </xdr:cNvPr>
        <xdr:cNvSpPr/>
      </xdr:nvSpPr>
      <xdr:spPr>
        <a:xfrm>
          <a:off x="5478683" y="4371722"/>
          <a:ext cx="1755670" cy="1199734"/>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tx1"/>
              </a:solidFill>
              <a:latin typeface="+mn-lt"/>
              <a:ea typeface="+mn-ea"/>
              <a:cs typeface="+mn-cs"/>
            </a:rPr>
            <a:t>79.67</a:t>
          </a:r>
        </a:p>
        <a:p>
          <a:pPr marL="0" indent="0" algn="ctr"/>
          <a:r>
            <a:rPr lang="en-IN" sz="2000" b="1">
              <a:solidFill>
                <a:schemeClr val="tx1"/>
              </a:solidFill>
              <a:latin typeface="+mn-lt"/>
              <a:ea typeface="+mn-ea"/>
              <a:cs typeface="+mn-cs"/>
            </a:rPr>
            <a:t>Average </a:t>
          </a:r>
        </a:p>
        <a:p>
          <a:pPr marL="0" indent="0" algn="ctr"/>
          <a:r>
            <a:rPr lang="en-IN" sz="2000" b="1">
              <a:solidFill>
                <a:schemeClr val="tx1"/>
              </a:solidFill>
              <a:latin typeface="+mn-lt"/>
              <a:ea typeface="+mn-ea"/>
              <a:cs typeface="+mn-cs"/>
            </a:rPr>
            <a:t>Defense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8.799275231482" createdVersion="8" refreshedVersion="8" minRefreshableVersion="3" recordCount="414" xr:uid="{5BE2FD17-F6D8-4915-96B9-1BA8B2847280}">
  <cacheSource type="worksheet">
    <worksheetSource ref="A1:M415" sheet="pokemon"/>
  </cacheSource>
  <cacheFields count="13">
    <cacheField name="s_no" numFmtId="0">
      <sharedItems containsSemiMixedTypes="0" containsString="0" containsNumber="1" containsInteger="1" minValue="1" maxValue="414" count="4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sharedItems>
    </cacheField>
    <cacheField name="Name" numFmtId="0">
      <sharedItems/>
    </cacheField>
    <cacheField name="Type_1" numFmtId="0">
      <sharedItems count="18">
        <s v="Grass"/>
        <s v="Fire"/>
        <s v="Bug"/>
        <s v="Normal"/>
        <s v="Poison"/>
        <s v="Water"/>
        <s v="Rock"/>
        <s v="Electric"/>
        <s v="Ghost"/>
        <s v="Ground"/>
        <s v="Psychic"/>
        <s v="Ice"/>
        <s v="Dragon"/>
        <s v="Fairy"/>
        <s v="Dark"/>
        <s v="Steel"/>
        <s v="Fighting"/>
        <s v="Flying"/>
      </sharedItems>
    </cacheField>
    <cacheField name="Type_2" numFmtId="0">
      <sharedItems count="18">
        <s v="Poison"/>
        <s v="Flying"/>
        <s v="Dragon"/>
        <s v="Ground"/>
        <s v="Fairy"/>
        <s v="Grass"/>
        <s v="Fighting"/>
        <s v="Psychic"/>
        <s v="Steel"/>
        <s v="Ice"/>
        <s v="Rock"/>
        <s v="Dark"/>
        <s v="Water"/>
        <s v="Electric"/>
        <s v="Fire"/>
        <s v="Ghost"/>
        <s v="Bug"/>
        <s v="Normal"/>
      </sharedItems>
    </cacheField>
    <cacheField name="Total" numFmtId="0">
      <sharedItems containsSemiMixedTypes="0" containsString="0" containsNumber="1" containsInteger="1" minValue="190" maxValue="780" count="146">
        <n v="318"/>
        <n v="405"/>
        <n v="525"/>
        <n v="625"/>
        <n v="534"/>
        <n v="634"/>
        <n v="395"/>
        <n v="195"/>
        <n v="205"/>
        <n v="495"/>
        <n v="251"/>
        <n v="349"/>
        <n v="479"/>
        <n v="579"/>
        <n v="262"/>
        <n v="442"/>
        <n v="505"/>
        <n v="270"/>
        <n v="435"/>
        <n v="245"/>
        <n v="455"/>
        <n v="320"/>
        <n v="490"/>
        <n v="285"/>
        <n v="305"/>
        <n v="450"/>
        <n v="510"/>
        <n v="300"/>
        <n v="390"/>
        <n v="335"/>
        <n v="515"/>
        <n v="315"/>
        <n v="590"/>
        <n v="325"/>
        <n v="465"/>
        <n v="352"/>
        <n v="310"/>
        <n v="460"/>
        <n v="475"/>
        <n v="500"/>
        <n v="600"/>
        <n v="385"/>
        <n v="520"/>
        <n v="345"/>
        <n v="485"/>
        <n v="540"/>
        <n v="640"/>
        <n v="535"/>
        <n v="355"/>
        <n v="615"/>
        <n v="580"/>
        <n v="780"/>
        <n v="265"/>
        <n v="250"/>
        <n v="330"/>
        <n v="210"/>
        <n v="470"/>
        <n v="610"/>
        <n v="420"/>
        <n v="340"/>
        <n v="430"/>
        <n v="410"/>
        <n v="380"/>
        <n v="700"/>
        <n v="680"/>
        <n v="630"/>
        <n v="530"/>
        <n v="635"/>
        <n v="220"/>
        <n v="480"/>
        <n v="198"/>
        <n v="278"/>
        <n v="518"/>
        <n v="618"/>
        <n v="269"/>
        <n v="414"/>
        <n v="266"/>
        <n v="456"/>
        <n v="236"/>
        <n v="190"/>
        <n v="280"/>
        <n v="400"/>
        <n v="560"/>
        <n v="440"/>
        <n v="288"/>
        <n v="468"/>
        <n v="290"/>
        <n v="770"/>
        <n v="350"/>
        <n v="424"/>
        <n v="244"/>
        <n v="474"/>
        <n v="348"/>
        <n v="498"/>
        <n v="329"/>
        <n v="411"/>
        <n v="334"/>
        <n v="494"/>
        <n v="594"/>
        <n v="545"/>
        <n v="418"/>
        <n v="528"/>
        <n v="264"/>
        <n v="358"/>
        <n v="488"/>
        <n v="313"/>
        <n v="425"/>
        <n v="508"/>
        <n v="384"/>
        <n v="509"/>
        <n v="260"/>
        <n v="360"/>
        <n v="292"/>
        <n v="351"/>
        <n v="519"/>
        <n v="401"/>
        <n v="567"/>
        <n v="473"/>
        <n v="428"/>
        <n v="294"/>
        <n v="464"/>
        <n v="319"/>
        <n v="472"/>
        <n v="489"/>
        <n v="275"/>
        <n v="370"/>
        <n v="471"/>
        <n v="303"/>
        <n v="483"/>
        <n v="484"/>
        <n v="550"/>
        <n v="660"/>
        <n v="423"/>
        <n v="382"/>
        <n v="499"/>
        <n v="369"/>
        <n v="507"/>
        <n v="448"/>
        <n v="482"/>
        <n v="306"/>
        <n v="289"/>
        <n v="481"/>
        <n v="362"/>
        <n v="521"/>
        <n v="431"/>
        <n v="309"/>
      </sharedItems>
    </cacheField>
    <cacheField name="HP" numFmtId="0">
      <sharedItems containsSemiMixedTypes="0" containsString="0" containsNumber="1" containsInteger="1" minValue="1" maxValue="150"/>
    </cacheField>
    <cacheField name="Attack" numFmtId="0">
      <sharedItems containsSemiMixedTypes="0" containsString="0" containsNumber="1" containsInteger="1" minValue="10" maxValue="190"/>
    </cacheField>
    <cacheField name="Defense" numFmtId="0">
      <sharedItems containsSemiMixedTypes="0" containsString="0" containsNumber="1" containsInteger="1" minValue="15" maxValue="230"/>
    </cacheField>
    <cacheField name="Sp_Atk" numFmtId="0">
      <sharedItems containsSemiMixedTypes="0" containsString="0" containsNumber="1" containsInteger="1" minValue="10" maxValue="180"/>
    </cacheField>
    <cacheField name="Sp_Def" numFmtId="0">
      <sharedItems containsSemiMixedTypes="0" containsString="0" containsNumber="1" containsInteger="1" minValue="20" maxValue="230"/>
    </cacheField>
    <cacheField name="Speed" numFmtId="0">
      <sharedItems containsSemiMixedTypes="0" containsString="0" containsNumber="1" containsInteger="1" minValue="5" maxValue="160"/>
    </cacheField>
    <cacheField name="Generation" numFmtId="0">
      <sharedItems containsSemiMixedTypes="0" containsString="0" containsNumber="1" containsInteger="1" minValue="1" maxValue="6" count="6">
        <n v="1"/>
        <n v="2"/>
        <n v="3"/>
        <n v="4"/>
        <n v="5"/>
        <n v="6"/>
      </sharedItems>
    </cacheField>
    <cacheField name="Legendary/normal" numFmtId="0">
      <sharedItems count="2">
        <s v="NORMAL"/>
        <s v="LEGENDARY"/>
      </sharedItems>
    </cacheField>
  </cacheFields>
  <extLst>
    <ext xmlns:x14="http://schemas.microsoft.com/office/spreadsheetml/2009/9/main" uri="{725AE2AE-9491-48be-B2B4-4EB974FC3084}">
      <x14:pivotCacheDefinition pivotCacheId="698209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s v="Bulbasaur"/>
    <x v="0"/>
    <x v="0"/>
    <x v="0"/>
    <n v="45"/>
    <n v="49"/>
    <n v="49"/>
    <n v="65"/>
    <n v="65"/>
    <n v="45"/>
    <x v="0"/>
    <x v="0"/>
  </r>
  <r>
    <x v="1"/>
    <s v="Ivysaur"/>
    <x v="0"/>
    <x v="0"/>
    <x v="1"/>
    <n v="60"/>
    <n v="62"/>
    <n v="63"/>
    <n v="80"/>
    <n v="80"/>
    <n v="60"/>
    <x v="0"/>
    <x v="0"/>
  </r>
  <r>
    <x v="2"/>
    <s v="Venusaur"/>
    <x v="0"/>
    <x v="0"/>
    <x v="2"/>
    <n v="80"/>
    <n v="82"/>
    <n v="83"/>
    <n v="100"/>
    <n v="100"/>
    <n v="80"/>
    <x v="0"/>
    <x v="0"/>
  </r>
  <r>
    <x v="3"/>
    <s v="VenusaurMega Venusaur"/>
    <x v="0"/>
    <x v="0"/>
    <x v="3"/>
    <n v="80"/>
    <n v="100"/>
    <n v="123"/>
    <n v="122"/>
    <n v="120"/>
    <n v="80"/>
    <x v="0"/>
    <x v="0"/>
  </r>
  <r>
    <x v="4"/>
    <s v="Charizard"/>
    <x v="1"/>
    <x v="1"/>
    <x v="4"/>
    <n v="78"/>
    <n v="84"/>
    <n v="78"/>
    <n v="109"/>
    <n v="85"/>
    <n v="100"/>
    <x v="0"/>
    <x v="0"/>
  </r>
  <r>
    <x v="5"/>
    <s v="CharizardMega Charizard X"/>
    <x v="1"/>
    <x v="2"/>
    <x v="5"/>
    <n v="78"/>
    <n v="130"/>
    <n v="111"/>
    <n v="130"/>
    <n v="85"/>
    <n v="100"/>
    <x v="0"/>
    <x v="0"/>
  </r>
  <r>
    <x v="6"/>
    <s v="CharizardMega Charizard Y"/>
    <x v="1"/>
    <x v="1"/>
    <x v="5"/>
    <n v="78"/>
    <n v="104"/>
    <n v="78"/>
    <n v="159"/>
    <n v="115"/>
    <n v="100"/>
    <x v="0"/>
    <x v="0"/>
  </r>
  <r>
    <x v="7"/>
    <s v="Butterfree"/>
    <x v="2"/>
    <x v="1"/>
    <x v="6"/>
    <n v="60"/>
    <n v="45"/>
    <n v="50"/>
    <n v="90"/>
    <n v="80"/>
    <n v="70"/>
    <x v="0"/>
    <x v="0"/>
  </r>
  <r>
    <x v="8"/>
    <s v="Weedle"/>
    <x v="2"/>
    <x v="0"/>
    <x v="7"/>
    <n v="40"/>
    <n v="35"/>
    <n v="30"/>
    <n v="20"/>
    <n v="20"/>
    <n v="50"/>
    <x v="0"/>
    <x v="0"/>
  </r>
  <r>
    <x v="9"/>
    <s v="Kakuna"/>
    <x v="2"/>
    <x v="0"/>
    <x v="8"/>
    <n v="45"/>
    <n v="25"/>
    <n v="50"/>
    <n v="25"/>
    <n v="25"/>
    <n v="35"/>
    <x v="0"/>
    <x v="0"/>
  </r>
  <r>
    <x v="10"/>
    <s v="Beedrill"/>
    <x v="2"/>
    <x v="0"/>
    <x v="6"/>
    <n v="65"/>
    <n v="90"/>
    <n v="40"/>
    <n v="45"/>
    <n v="80"/>
    <n v="75"/>
    <x v="0"/>
    <x v="0"/>
  </r>
  <r>
    <x v="11"/>
    <s v="BeedrillMega Beedrill"/>
    <x v="2"/>
    <x v="0"/>
    <x v="9"/>
    <n v="65"/>
    <n v="150"/>
    <n v="40"/>
    <n v="15"/>
    <n v="80"/>
    <n v="145"/>
    <x v="0"/>
    <x v="0"/>
  </r>
  <r>
    <x v="12"/>
    <s v="Pidgey"/>
    <x v="3"/>
    <x v="1"/>
    <x v="10"/>
    <n v="40"/>
    <n v="45"/>
    <n v="40"/>
    <n v="35"/>
    <n v="35"/>
    <n v="56"/>
    <x v="0"/>
    <x v="0"/>
  </r>
  <r>
    <x v="13"/>
    <s v="Pidgeotto"/>
    <x v="3"/>
    <x v="1"/>
    <x v="11"/>
    <n v="63"/>
    <n v="60"/>
    <n v="55"/>
    <n v="50"/>
    <n v="50"/>
    <n v="71"/>
    <x v="0"/>
    <x v="0"/>
  </r>
  <r>
    <x v="14"/>
    <s v="Pidgeot"/>
    <x v="3"/>
    <x v="1"/>
    <x v="12"/>
    <n v="83"/>
    <n v="80"/>
    <n v="75"/>
    <n v="70"/>
    <n v="70"/>
    <n v="101"/>
    <x v="0"/>
    <x v="0"/>
  </r>
  <r>
    <x v="15"/>
    <s v="PidgeotMega Pidgeot"/>
    <x v="3"/>
    <x v="1"/>
    <x v="13"/>
    <n v="83"/>
    <n v="80"/>
    <n v="80"/>
    <n v="135"/>
    <n v="80"/>
    <n v="121"/>
    <x v="0"/>
    <x v="0"/>
  </r>
  <r>
    <x v="16"/>
    <s v="Spearow"/>
    <x v="3"/>
    <x v="1"/>
    <x v="14"/>
    <n v="40"/>
    <n v="60"/>
    <n v="30"/>
    <n v="31"/>
    <n v="31"/>
    <n v="70"/>
    <x v="0"/>
    <x v="0"/>
  </r>
  <r>
    <x v="17"/>
    <s v="Fearow"/>
    <x v="3"/>
    <x v="1"/>
    <x v="15"/>
    <n v="65"/>
    <n v="90"/>
    <n v="65"/>
    <n v="61"/>
    <n v="61"/>
    <n v="100"/>
    <x v="0"/>
    <x v="0"/>
  </r>
  <r>
    <x v="18"/>
    <s v="Nidoqueen"/>
    <x v="4"/>
    <x v="3"/>
    <x v="16"/>
    <n v="90"/>
    <n v="92"/>
    <n v="87"/>
    <n v="75"/>
    <n v="85"/>
    <n v="76"/>
    <x v="0"/>
    <x v="0"/>
  </r>
  <r>
    <x v="19"/>
    <s v="Nidoking"/>
    <x v="4"/>
    <x v="3"/>
    <x v="16"/>
    <n v="81"/>
    <n v="102"/>
    <n v="77"/>
    <n v="85"/>
    <n v="75"/>
    <n v="85"/>
    <x v="0"/>
    <x v="0"/>
  </r>
  <r>
    <x v="20"/>
    <s v="Jigglypuff"/>
    <x v="3"/>
    <x v="4"/>
    <x v="17"/>
    <n v="115"/>
    <n v="45"/>
    <n v="20"/>
    <n v="45"/>
    <n v="25"/>
    <n v="20"/>
    <x v="0"/>
    <x v="0"/>
  </r>
  <r>
    <x v="21"/>
    <s v="Wigglytuff"/>
    <x v="3"/>
    <x v="4"/>
    <x v="18"/>
    <n v="140"/>
    <n v="70"/>
    <n v="45"/>
    <n v="85"/>
    <n v="50"/>
    <n v="45"/>
    <x v="0"/>
    <x v="0"/>
  </r>
  <r>
    <x v="22"/>
    <s v="Zubat"/>
    <x v="4"/>
    <x v="1"/>
    <x v="19"/>
    <n v="40"/>
    <n v="45"/>
    <n v="35"/>
    <n v="30"/>
    <n v="40"/>
    <n v="55"/>
    <x v="0"/>
    <x v="0"/>
  </r>
  <r>
    <x v="23"/>
    <s v="Golbat"/>
    <x v="4"/>
    <x v="1"/>
    <x v="20"/>
    <n v="75"/>
    <n v="80"/>
    <n v="70"/>
    <n v="65"/>
    <n v="75"/>
    <n v="90"/>
    <x v="0"/>
    <x v="0"/>
  </r>
  <r>
    <x v="24"/>
    <s v="Oddish"/>
    <x v="0"/>
    <x v="0"/>
    <x v="21"/>
    <n v="45"/>
    <n v="50"/>
    <n v="55"/>
    <n v="75"/>
    <n v="65"/>
    <n v="30"/>
    <x v="0"/>
    <x v="0"/>
  </r>
  <r>
    <x v="25"/>
    <s v="Gloom"/>
    <x v="0"/>
    <x v="0"/>
    <x v="6"/>
    <n v="60"/>
    <n v="65"/>
    <n v="70"/>
    <n v="85"/>
    <n v="75"/>
    <n v="40"/>
    <x v="0"/>
    <x v="0"/>
  </r>
  <r>
    <x v="26"/>
    <s v="Vileplume"/>
    <x v="0"/>
    <x v="0"/>
    <x v="22"/>
    <n v="75"/>
    <n v="80"/>
    <n v="85"/>
    <n v="110"/>
    <n v="90"/>
    <n v="50"/>
    <x v="0"/>
    <x v="0"/>
  </r>
  <r>
    <x v="27"/>
    <s v="Paras"/>
    <x v="2"/>
    <x v="5"/>
    <x v="23"/>
    <n v="35"/>
    <n v="70"/>
    <n v="55"/>
    <n v="45"/>
    <n v="55"/>
    <n v="25"/>
    <x v="0"/>
    <x v="0"/>
  </r>
  <r>
    <x v="28"/>
    <s v="Parasect"/>
    <x v="2"/>
    <x v="5"/>
    <x v="1"/>
    <n v="60"/>
    <n v="95"/>
    <n v="80"/>
    <n v="60"/>
    <n v="80"/>
    <n v="30"/>
    <x v="0"/>
    <x v="0"/>
  </r>
  <r>
    <x v="29"/>
    <s v="Venonat"/>
    <x v="2"/>
    <x v="0"/>
    <x v="24"/>
    <n v="60"/>
    <n v="55"/>
    <n v="50"/>
    <n v="40"/>
    <n v="55"/>
    <n v="45"/>
    <x v="0"/>
    <x v="0"/>
  </r>
  <r>
    <x v="30"/>
    <s v="Venomoth"/>
    <x v="2"/>
    <x v="0"/>
    <x v="25"/>
    <n v="70"/>
    <n v="65"/>
    <n v="60"/>
    <n v="90"/>
    <n v="75"/>
    <n v="90"/>
    <x v="0"/>
    <x v="0"/>
  </r>
  <r>
    <x v="31"/>
    <s v="Poliwrath"/>
    <x v="5"/>
    <x v="6"/>
    <x v="26"/>
    <n v="90"/>
    <n v="95"/>
    <n v="95"/>
    <n v="70"/>
    <n v="90"/>
    <n v="70"/>
    <x v="0"/>
    <x v="0"/>
  </r>
  <r>
    <x v="32"/>
    <s v="Bellsprout"/>
    <x v="0"/>
    <x v="0"/>
    <x v="27"/>
    <n v="50"/>
    <n v="75"/>
    <n v="35"/>
    <n v="70"/>
    <n v="30"/>
    <n v="40"/>
    <x v="0"/>
    <x v="0"/>
  </r>
  <r>
    <x v="33"/>
    <s v="Weepinbell"/>
    <x v="0"/>
    <x v="0"/>
    <x v="28"/>
    <n v="65"/>
    <n v="90"/>
    <n v="50"/>
    <n v="85"/>
    <n v="45"/>
    <n v="55"/>
    <x v="0"/>
    <x v="0"/>
  </r>
  <r>
    <x v="34"/>
    <s v="Victreebel"/>
    <x v="0"/>
    <x v="0"/>
    <x v="22"/>
    <n v="80"/>
    <n v="105"/>
    <n v="65"/>
    <n v="100"/>
    <n v="70"/>
    <n v="70"/>
    <x v="0"/>
    <x v="0"/>
  </r>
  <r>
    <x v="35"/>
    <s v="Tentacool"/>
    <x v="5"/>
    <x v="0"/>
    <x v="29"/>
    <n v="40"/>
    <n v="40"/>
    <n v="35"/>
    <n v="50"/>
    <n v="100"/>
    <n v="70"/>
    <x v="0"/>
    <x v="0"/>
  </r>
  <r>
    <x v="36"/>
    <s v="Tentacruel"/>
    <x v="5"/>
    <x v="0"/>
    <x v="30"/>
    <n v="80"/>
    <n v="70"/>
    <n v="65"/>
    <n v="80"/>
    <n v="120"/>
    <n v="100"/>
    <x v="0"/>
    <x v="0"/>
  </r>
  <r>
    <x v="37"/>
    <s v="Geodude"/>
    <x v="6"/>
    <x v="3"/>
    <x v="27"/>
    <n v="40"/>
    <n v="80"/>
    <n v="100"/>
    <n v="30"/>
    <n v="30"/>
    <n v="20"/>
    <x v="0"/>
    <x v="0"/>
  </r>
  <r>
    <x v="38"/>
    <s v="Graveler"/>
    <x v="6"/>
    <x v="3"/>
    <x v="28"/>
    <n v="55"/>
    <n v="95"/>
    <n v="115"/>
    <n v="45"/>
    <n v="45"/>
    <n v="35"/>
    <x v="0"/>
    <x v="0"/>
  </r>
  <r>
    <x v="39"/>
    <s v="Golem"/>
    <x v="6"/>
    <x v="3"/>
    <x v="9"/>
    <n v="80"/>
    <n v="120"/>
    <n v="130"/>
    <n v="55"/>
    <n v="65"/>
    <n v="45"/>
    <x v="0"/>
    <x v="0"/>
  </r>
  <r>
    <x v="40"/>
    <s v="Slowpoke"/>
    <x v="5"/>
    <x v="7"/>
    <x v="31"/>
    <n v="90"/>
    <n v="65"/>
    <n v="65"/>
    <n v="40"/>
    <n v="40"/>
    <n v="15"/>
    <x v="0"/>
    <x v="0"/>
  </r>
  <r>
    <x v="41"/>
    <s v="Slowbro"/>
    <x v="5"/>
    <x v="7"/>
    <x v="22"/>
    <n v="95"/>
    <n v="75"/>
    <n v="110"/>
    <n v="100"/>
    <n v="80"/>
    <n v="30"/>
    <x v="0"/>
    <x v="0"/>
  </r>
  <r>
    <x v="42"/>
    <s v="SlowbroMega Slowbro"/>
    <x v="5"/>
    <x v="7"/>
    <x v="32"/>
    <n v="95"/>
    <n v="75"/>
    <n v="180"/>
    <n v="130"/>
    <n v="80"/>
    <n v="30"/>
    <x v="0"/>
    <x v="0"/>
  </r>
  <r>
    <x v="43"/>
    <s v="Magnemite"/>
    <x v="7"/>
    <x v="8"/>
    <x v="33"/>
    <n v="25"/>
    <n v="35"/>
    <n v="70"/>
    <n v="95"/>
    <n v="55"/>
    <n v="45"/>
    <x v="0"/>
    <x v="0"/>
  </r>
  <r>
    <x v="44"/>
    <s v="Magneton"/>
    <x v="7"/>
    <x v="8"/>
    <x v="34"/>
    <n v="50"/>
    <n v="60"/>
    <n v="95"/>
    <n v="120"/>
    <n v="70"/>
    <n v="70"/>
    <x v="0"/>
    <x v="0"/>
  </r>
  <r>
    <x v="45"/>
    <s v="Farfetch'd"/>
    <x v="3"/>
    <x v="1"/>
    <x v="35"/>
    <n v="52"/>
    <n v="65"/>
    <n v="55"/>
    <n v="58"/>
    <n v="62"/>
    <n v="60"/>
    <x v="0"/>
    <x v="0"/>
  </r>
  <r>
    <x v="46"/>
    <s v="Doduo"/>
    <x v="3"/>
    <x v="1"/>
    <x v="36"/>
    <n v="35"/>
    <n v="85"/>
    <n v="45"/>
    <n v="35"/>
    <n v="35"/>
    <n v="75"/>
    <x v="0"/>
    <x v="0"/>
  </r>
  <r>
    <x v="47"/>
    <s v="Dodrio"/>
    <x v="3"/>
    <x v="1"/>
    <x v="37"/>
    <n v="60"/>
    <n v="110"/>
    <n v="70"/>
    <n v="60"/>
    <n v="60"/>
    <n v="100"/>
    <x v="0"/>
    <x v="0"/>
  </r>
  <r>
    <x v="48"/>
    <s v="Dewgong"/>
    <x v="5"/>
    <x v="9"/>
    <x v="38"/>
    <n v="90"/>
    <n v="70"/>
    <n v="80"/>
    <n v="70"/>
    <n v="95"/>
    <n v="70"/>
    <x v="0"/>
    <x v="0"/>
  </r>
  <r>
    <x v="49"/>
    <s v="Cloyster"/>
    <x v="5"/>
    <x v="9"/>
    <x v="2"/>
    <n v="50"/>
    <n v="95"/>
    <n v="180"/>
    <n v="85"/>
    <n v="45"/>
    <n v="70"/>
    <x v="0"/>
    <x v="0"/>
  </r>
  <r>
    <x v="50"/>
    <s v="Gastly"/>
    <x v="8"/>
    <x v="0"/>
    <x v="36"/>
    <n v="30"/>
    <n v="35"/>
    <n v="30"/>
    <n v="100"/>
    <n v="35"/>
    <n v="80"/>
    <x v="0"/>
    <x v="0"/>
  </r>
  <r>
    <x v="51"/>
    <s v="Haunter"/>
    <x v="8"/>
    <x v="0"/>
    <x v="1"/>
    <n v="45"/>
    <n v="50"/>
    <n v="45"/>
    <n v="115"/>
    <n v="55"/>
    <n v="95"/>
    <x v="0"/>
    <x v="0"/>
  </r>
  <r>
    <x v="52"/>
    <s v="Gengar"/>
    <x v="8"/>
    <x v="0"/>
    <x v="39"/>
    <n v="60"/>
    <n v="65"/>
    <n v="60"/>
    <n v="130"/>
    <n v="75"/>
    <n v="110"/>
    <x v="0"/>
    <x v="0"/>
  </r>
  <r>
    <x v="53"/>
    <s v="GengarMega Gengar"/>
    <x v="8"/>
    <x v="0"/>
    <x v="40"/>
    <n v="60"/>
    <n v="65"/>
    <n v="80"/>
    <n v="170"/>
    <n v="95"/>
    <n v="130"/>
    <x v="0"/>
    <x v="0"/>
  </r>
  <r>
    <x v="54"/>
    <s v="Onix"/>
    <x v="6"/>
    <x v="3"/>
    <x v="41"/>
    <n v="35"/>
    <n v="45"/>
    <n v="160"/>
    <n v="30"/>
    <n v="45"/>
    <n v="70"/>
    <x v="0"/>
    <x v="0"/>
  </r>
  <r>
    <x v="55"/>
    <s v="Exeggcute"/>
    <x v="0"/>
    <x v="7"/>
    <x v="33"/>
    <n v="60"/>
    <n v="40"/>
    <n v="80"/>
    <n v="60"/>
    <n v="45"/>
    <n v="40"/>
    <x v="0"/>
    <x v="0"/>
  </r>
  <r>
    <x v="56"/>
    <s v="Exeggutor"/>
    <x v="0"/>
    <x v="7"/>
    <x v="42"/>
    <n v="95"/>
    <n v="95"/>
    <n v="85"/>
    <n v="125"/>
    <n v="65"/>
    <n v="55"/>
    <x v="0"/>
    <x v="0"/>
  </r>
  <r>
    <x v="57"/>
    <s v="Rhyhorn"/>
    <x v="9"/>
    <x v="10"/>
    <x v="43"/>
    <n v="80"/>
    <n v="85"/>
    <n v="95"/>
    <n v="30"/>
    <n v="30"/>
    <n v="25"/>
    <x v="0"/>
    <x v="0"/>
  </r>
  <r>
    <x v="58"/>
    <s v="Rhydon"/>
    <x v="9"/>
    <x v="10"/>
    <x v="44"/>
    <n v="105"/>
    <n v="130"/>
    <n v="120"/>
    <n v="45"/>
    <n v="45"/>
    <n v="40"/>
    <x v="0"/>
    <x v="0"/>
  </r>
  <r>
    <x v="59"/>
    <s v="Starmie"/>
    <x v="5"/>
    <x v="7"/>
    <x v="42"/>
    <n v="60"/>
    <n v="75"/>
    <n v="85"/>
    <n v="100"/>
    <n v="85"/>
    <n v="115"/>
    <x v="0"/>
    <x v="0"/>
  </r>
  <r>
    <x v="60"/>
    <s v="Mr. Mime"/>
    <x v="10"/>
    <x v="4"/>
    <x v="37"/>
    <n v="40"/>
    <n v="45"/>
    <n v="65"/>
    <n v="100"/>
    <n v="120"/>
    <n v="90"/>
    <x v="0"/>
    <x v="0"/>
  </r>
  <r>
    <x v="61"/>
    <s v="Scyther"/>
    <x v="2"/>
    <x v="1"/>
    <x v="39"/>
    <n v="70"/>
    <n v="110"/>
    <n v="80"/>
    <n v="55"/>
    <n v="80"/>
    <n v="105"/>
    <x v="0"/>
    <x v="0"/>
  </r>
  <r>
    <x v="62"/>
    <s v="Jynx"/>
    <x v="11"/>
    <x v="7"/>
    <x v="20"/>
    <n v="65"/>
    <n v="50"/>
    <n v="35"/>
    <n v="115"/>
    <n v="95"/>
    <n v="95"/>
    <x v="0"/>
    <x v="0"/>
  </r>
  <r>
    <x v="63"/>
    <s v="PinsirMega Pinsir"/>
    <x v="2"/>
    <x v="1"/>
    <x v="40"/>
    <n v="65"/>
    <n v="155"/>
    <n v="120"/>
    <n v="65"/>
    <n v="90"/>
    <n v="105"/>
    <x v="0"/>
    <x v="0"/>
  </r>
  <r>
    <x v="64"/>
    <s v="Gyarados"/>
    <x v="5"/>
    <x v="1"/>
    <x v="45"/>
    <n v="95"/>
    <n v="125"/>
    <n v="79"/>
    <n v="60"/>
    <n v="100"/>
    <n v="81"/>
    <x v="0"/>
    <x v="0"/>
  </r>
  <r>
    <x v="65"/>
    <s v="GyaradosMega Gyarados"/>
    <x v="5"/>
    <x v="11"/>
    <x v="46"/>
    <n v="95"/>
    <n v="155"/>
    <n v="109"/>
    <n v="70"/>
    <n v="130"/>
    <n v="81"/>
    <x v="0"/>
    <x v="0"/>
  </r>
  <r>
    <x v="66"/>
    <s v="Lapras"/>
    <x v="5"/>
    <x v="9"/>
    <x v="47"/>
    <n v="130"/>
    <n v="85"/>
    <n v="80"/>
    <n v="85"/>
    <n v="95"/>
    <n v="60"/>
    <x v="0"/>
    <x v="0"/>
  </r>
  <r>
    <x v="67"/>
    <s v="Omanyte"/>
    <x v="6"/>
    <x v="12"/>
    <x v="48"/>
    <n v="35"/>
    <n v="40"/>
    <n v="100"/>
    <n v="90"/>
    <n v="55"/>
    <n v="35"/>
    <x v="0"/>
    <x v="0"/>
  </r>
  <r>
    <x v="68"/>
    <s v="Omastar"/>
    <x v="6"/>
    <x v="12"/>
    <x v="9"/>
    <n v="70"/>
    <n v="60"/>
    <n v="125"/>
    <n v="115"/>
    <n v="70"/>
    <n v="55"/>
    <x v="0"/>
    <x v="0"/>
  </r>
  <r>
    <x v="69"/>
    <s v="Kabuto"/>
    <x v="6"/>
    <x v="12"/>
    <x v="48"/>
    <n v="30"/>
    <n v="80"/>
    <n v="90"/>
    <n v="55"/>
    <n v="45"/>
    <n v="55"/>
    <x v="0"/>
    <x v="0"/>
  </r>
  <r>
    <x v="70"/>
    <s v="Kabutops"/>
    <x v="6"/>
    <x v="12"/>
    <x v="9"/>
    <n v="60"/>
    <n v="115"/>
    <n v="105"/>
    <n v="65"/>
    <n v="70"/>
    <n v="80"/>
    <x v="0"/>
    <x v="0"/>
  </r>
  <r>
    <x v="71"/>
    <s v="Aerodactyl"/>
    <x v="6"/>
    <x v="1"/>
    <x v="30"/>
    <n v="80"/>
    <n v="105"/>
    <n v="65"/>
    <n v="60"/>
    <n v="75"/>
    <n v="130"/>
    <x v="0"/>
    <x v="0"/>
  </r>
  <r>
    <x v="72"/>
    <s v="AerodactylMega Aerodactyl"/>
    <x v="6"/>
    <x v="1"/>
    <x v="49"/>
    <n v="80"/>
    <n v="135"/>
    <n v="85"/>
    <n v="70"/>
    <n v="95"/>
    <n v="150"/>
    <x v="0"/>
    <x v="0"/>
  </r>
  <r>
    <x v="73"/>
    <s v="Articuno"/>
    <x v="11"/>
    <x v="1"/>
    <x v="50"/>
    <n v="90"/>
    <n v="85"/>
    <n v="100"/>
    <n v="95"/>
    <n v="125"/>
    <n v="85"/>
    <x v="0"/>
    <x v="1"/>
  </r>
  <r>
    <x v="74"/>
    <s v="Zapdos"/>
    <x v="7"/>
    <x v="1"/>
    <x v="50"/>
    <n v="90"/>
    <n v="90"/>
    <n v="85"/>
    <n v="125"/>
    <n v="90"/>
    <n v="100"/>
    <x v="0"/>
    <x v="1"/>
  </r>
  <r>
    <x v="75"/>
    <s v="Moltres"/>
    <x v="1"/>
    <x v="1"/>
    <x v="50"/>
    <n v="90"/>
    <n v="100"/>
    <n v="90"/>
    <n v="125"/>
    <n v="85"/>
    <n v="90"/>
    <x v="0"/>
    <x v="1"/>
  </r>
  <r>
    <x v="76"/>
    <s v="Dragonite"/>
    <x v="12"/>
    <x v="1"/>
    <x v="40"/>
    <n v="91"/>
    <n v="134"/>
    <n v="95"/>
    <n v="100"/>
    <n v="100"/>
    <n v="80"/>
    <x v="0"/>
    <x v="0"/>
  </r>
  <r>
    <x v="77"/>
    <s v="MewtwoMega Mewtwo X"/>
    <x v="10"/>
    <x v="6"/>
    <x v="51"/>
    <n v="106"/>
    <n v="190"/>
    <n v="100"/>
    <n v="154"/>
    <n v="100"/>
    <n v="130"/>
    <x v="0"/>
    <x v="1"/>
  </r>
  <r>
    <x v="78"/>
    <s v="Hoothoot"/>
    <x v="3"/>
    <x v="1"/>
    <x v="14"/>
    <n v="60"/>
    <n v="30"/>
    <n v="30"/>
    <n v="36"/>
    <n v="56"/>
    <n v="50"/>
    <x v="1"/>
    <x v="0"/>
  </r>
  <r>
    <x v="79"/>
    <s v="Noctowl"/>
    <x v="3"/>
    <x v="1"/>
    <x v="15"/>
    <n v="100"/>
    <n v="50"/>
    <n v="50"/>
    <n v="76"/>
    <n v="96"/>
    <n v="70"/>
    <x v="1"/>
    <x v="0"/>
  </r>
  <r>
    <x v="80"/>
    <s v="Ledyba"/>
    <x v="2"/>
    <x v="1"/>
    <x v="52"/>
    <n v="40"/>
    <n v="20"/>
    <n v="30"/>
    <n v="40"/>
    <n v="80"/>
    <n v="55"/>
    <x v="1"/>
    <x v="0"/>
  </r>
  <r>
    <x v="81"/>
    <s v="Ledian"/>
    <x v="2"/>
    <x v="1"/>
    <x v="28"/>
    <n v="55"/>
    <n v="35"/>
    <n v="50"/>
    <n v="55"/>
    <n v="110"/>
    <n v="85"/>
    <x v="1"/>
    <x v="0"/>
  </r>
  <r>
    <x v="82"/>
    <s v="Spinarak"/>
    <x v="2"/>
    <x v="0"/>
    <x v="53"/>
    <n v="40"/>
    <n v="60"/>
    <n v="40"/>
    <n v="40"/>
    <n v="40"/>
    <n v="30"/>
    <x v="1"/>
    <x v="0"/>
  </r>
  <r>
    <x v="83"/>
    <s v="Ariados"/>
    <x v="2"/>
    <x v="0"/>
    <x v="28"/>
    <n v="70"/>
    <n v="90"/>
    <n v="70"/>
    <n v="60"/>
    <n v="60"/>
    <n v="40"/>
    <x v="1"/>
    <x v="0"/>
  </r>
  <r>
    <x v="84"/>
    <s v="Crobat"/>
    <x v="4"/>
    <x v="1"/>
    <x v="47"/>
    <n v="85"/>
    <n v="90"/>
    <n v="80"/>
    <n v="70"/>
    <n v="80"/>
    <n v="130"/>
    <x v="1"/>
    <x v="0"/>
  </r>
  <r>
    <x v="85"/>
    <s v="Chinchou"/>
    <x v="5"/>
    <x v="13"/>
    <x v="54"/>
    <n v="75"/>
    <n v="38"/>
    <n v="38"/>
    <n v="56"/>
    <n v="56"/>
    <n v="67"/>
    <x v="1"/>
    <x v="0"/>
  </r>
  <r>
    <x v="86"/>
    <s v="Lanturn"/>
    <x v="5"/>
    <x v="13"/>
    <x v="37"/>
    <n v="125"/>
    <n v="58"/>
    <n v="58"/>
    <n v="76"/>
    <n v="76"/>
    <n v="67"/>
    <x v="1"/>
    <x v="0"/>
  </r>
  <r>
    <x v="87"/>
    <s v="Igglybuff"/>
    <x v="3"/>
    <x v="4"/>
    <x v="55"/>
    <n v="90"/>
    <n v="30"/>
    <n v="15"/>
    <n v="40"/>
    <n v="20"/>
    <n v="15"/>
    <x v="1"/>
    <x v="0"/>
  </r>
  <r>
    <x v="88"/>
    <s v="Togetic"/>
    <x v="13"/>
    <x v="1"/>
    <x v="1"/>
    <n v="55"/>
    <n v="40"/>
    <n v="85"/>
    <n v="80"/>
    <n v="105"/>
    <n v="40"/>
    <x v="1"/>
    <x v="0"/>
  </r>
  <r>
    <x v="89"/>
    <s v="Natu"/>
    <x v="10"/>
    <x v="1"/>
    <x v="21"/>
    <n v="40"/>
    <n v="50"/>
    <n v="45"/>
    <n v="70"/>
    <n v="45"/>
    <n v="70"/>
    <x v="1"/>
    <x v="0"/>
  </r>
  <r>
    <x v="90"/>
    <s v="Xatu"/>
    <x v="10"/>
    <x v="1"/>
    <x v="56"/>
    <n v="65"/>
    <n v="75"/>
    <n v="70"/>
    <n v="95"/>
    <n v="70"/>
    <n v="95"/>
    <x v="1"/>
    <x v="0"/>
  </r>
  <r>
    <x v="91"/>
    <s v="AmpharosMega Ampharos"/>
    <x v="7"/>
    <x v="2"/>
    <x v="57"/>
    <n v="90"/>
    <n v="95"/>
    <n v="105"/>
    <n v="165"/>
    <n v="110"/>
    <n v="45"/>
    <x v="1"/>
    <x v="0"/>
  </r>
  <r>
    <x v="92"/>
    <s v="Marill"/>
    <x v="5"/>
    <x v="4"/>
    <x v="53"/>
    <n v="70"/>
    <n v="20"/>
    <n v="50"/>
    <n v="20"/>
    <n v="50"/>
    <n v="40"/>
    <x v="1"/>
    <x v="0"/>
  </r>
  <r>
    <x v="93"/>
    <s v="Azumarill"/>
    <x v="5"/>
    <x v="4"/>
    <x v="58"/>
    <n v="100"/>
    <n v="50"/>
    <n v="80"/>
    <n v="60"/>
    <n v="80"/>
    <n v="50"/>
    <x v="1"/>
    <x v="0"/>
  </r>
  <r>
    <x v="94"/>
    <s v="Hoppip"/>
    <x v="0"/>
    <x v="1"/>
    <x v="53"/>
    <n v="35"/>
    <n v="35"/>
    <n v="40"/>
    <n v="35"/>
    <n v="55"/>
    <n v="50"/>
    <x v="1"/>
    <x v="0"/>
  </r>
  <r>
    <x v="95"/>
    <s v="Skiploom"/>
    <x v="0"/>
    <x v="1"/>
    <x v="59"/>
    <n v="55"/>
    <n v="45"/>
    <n v="50"/>
    <n v="45"/>
    <n v="65"/>
    <n v="80"/>
    <x v="1"/>
    <x v="0"/>
  </r>
  <r>
    <x v="96"/>
    <s v="Jumpluff"/>
    <x v="0"/>
    <x v="1"/>
    <x v="37"/>
    <n v="75"/>
    <n v="55"/>
    <n v="70"/>
    <n v="55"/>
    <n v="95"/>
    <n v="110"/>
    <x v="1"/>
    <x v="0"/>
  </r>
  <r>
    <x v="97"/>
    <s v="Yanma"/>
    <x v="2"/>
    <x v="1"/>
    <x v="28"/>
    <n v="65"/>
    <n v="65"/>
    <n v="45"/>
    <n v="75"/>
    <n v="45"/>
    <n v="95"/>
    <x v="1"/>
    <x v="0"/>
  </r>
  <r>
    <x v="98"/>
    <s v="Wooper"/>
    <x v="5"/>
    <x v="3"/>
    <x v="55"/>
    <n v="55"/>
    <n v="45"/>
    <n v="45"/>
    <n v="25"/>
    <n v="25"/>
    <n v="15"/>
    <x v="1"/>
    <x v="0"/>
  </r>
  <r>
    <x v="99"/>
    <s v="Quagsire"/>
    <x v="5"/>
    <x v="3"/>
    <x v="60"/>
    <n v="95"/>
    <n v="85"/>
    <n v="85"/>
    <n v="65"/>
    <n v="65"/>
    <n v="35"/>
    <x v="1"/>
    <x v="0"/>
  </r>
  <r>
    <x v="100"/>
    <s v="Murkrow"/>
    <x v="14"/>
    <x v="1"/>
    <x v="1"/>
    <n v="60"/>
    <n v="85"/>
    <n v="42"/>
    <n v="85"/>
    <n v="42"/>
    <n v="91"/>
    <x v="1"/>
    <x v="0"/>
  </r>
  <r>
    <x v="101"/>
    <s v="Slowking"/>
    <x v="5"/>
    <x v="7"/>
    <x v="22"/>
    <n v="95"/>
    <n v="75"/>
    <n v="80"/>
    <n v="100"/>
    <n v="110"/>
    <n v="30"/>
    <x v="1"/>
    <x v="0"/>
  </r>
  <r>
    <x v="102"/>
    <s v="Girafarig"/>
    <x v="3"/>
    <x v="7"/>
    <x v="20"/>
    <n v="70"/>
    <n v="80"/>
    <n v="65"/>
    <n v="90"/>
    <n v="65"/>
    <n v="85"/>
    <x v="1"/>
    <x v="0"/>
  </r>
  <r>
    <x v="103"/>
    <s v="Forretress"/>
    <x v="2"/>
    <x v="8"/>
    <x v="34"/>
    <n v="75"/>
    <n v="90"/>
    <n v="140"/>
    <n v="60"/>
    <n v="60"/>
    <n v="40"/>
    <x v="1"/>
    <x v="0"/>
  </r>
  <r>
    <x v="104"/>
    <s v="Gligar"/>
    <x v="9"/>
    <x v="1"/>
    <x v="60"/>
    <n v="65"/>
    <n v="75"/>
    <n v="105"/>
    <n v="35"/>
    <n v="65"/>
    <n v="85"/>
    <x v="1"/>
    <x v="0"/>
  </r>
  <r>
    <x v="105"/>
    <s v="Steelix"/>
    <x v="15"/>
    <x v="3"/>
    <x v="26"/>
    <n v="75"/>
    <n v="85"/>
    <n v="200"/>
    <n v="55"/>
    <n v="65"/>
    <n v="30"/>
    <x v="1"/>
    <x v="0"/>
  </r>
  <r>
    <x v="106"/>
    <s v="SteelixMega Steelix"/>
    <x v="15"/>
    <x v="3"/>
    <x v="57"/>
    <n v="75"/>
    <n v="125"/>
    <n v="230"/>
    <n v="55"/>
    <n v="95"/>
    <n v="30"/>
    <x v="1"/>
    <x v="0"/>
  </r>
  <r>
    <x v="107"/>
    <s v="Qwilfish"/>
    <x v="5"/>
    <x v="0"/>
    <x v="60"/>
    <n v="65"/>
    <n v="95"/>
    <n v="75"/>
    <n v="55"/>
    <n v="55"/>
    <n v="85"/>
    <x v="1"/>
    <x v="0"/>
  </r>
  <r>
    <x v="108"/>
    <s v="Scizor"/>
    <x v="2"/>
    <x v="8"/>
    <x v="39"/>
    <n v="70"/>
    <n v="130"/>
    <n v="100"/>
    <n v="55"/>
    <n v="80"/>
    <n v="65"/>
    <x v="1"/>
    <x v="0"/>
  </r>
  <r>
    <x v="109"/>
    <s v="ScizorMega Scizor"/>
    <x v="2"/>
    <x v="8"/>
    <x v="40"/>
    <n v="70"/>
    <n v="150"/>
    <n v="140"/>
    <n v="65"/>
    <n v="100"/>
    <n v="75"/>
    <x v="1"/>
    <x v="0"/>
  </r>
  <r>
    <x v="110"/>
    <s v="Shuckle"/>
    <x v="2"/>
    <x v="10"/>
    <x v="16"/>
    <n v="20"/>
    <n v="10"/>
    <n v="230"/>
    <n v="10"/>
    <n v="230"/>
    <n v="5"/>
    <x v="1"/>
    <x v="0"/>
  </r>
  <r>
    <x v="111"/>
    <s v="Heracross"/>
    <x v="2"/>
    <x v="6"/>
    <x v="39"/>
    <n v="80"/>
    <n v="125"/>
    <n v="75"/>
    <n v="40"/>
    <n v="95"/>
    <n v="85"/>
    <x v="1"/>
    <x v="0"/>
  </r>
  <r>
    <x v="112"/>
    <s v="HeracrossMega Heracross"/>
    <x v="2"/>
    <x v="6"/>
    <x v="40"/>
    <n v="80"/>
    <n v="185"/>
    <n v="115"/>
    <n v="40"/>
    <n v="105"/>
    <n v="75"/>
    <x v="1"/>
    <x v="0"/>
  </r>
  <r>
    <x v="113"/>
    <s v="Sneasel"/>
    <x v="14"/>
    <x v="9"/>
    <x v="60"/>
    <n v="55"/>
    <n v="95"/>
    <n v="55"/>
    <n v="35"/>
    <n v="75"/>
    <n v="115"/>
    <x v="1"/>
    <x v="0"/>
  </r>
  <r>
    <x v="114"/>
    <s v="Magcargo"/>
    <x v="1"/>
    <x v="10"/>
    <x v="61"/>
    <n v="50"/>
    <n v="50"/>
    <n v="120"/>
    <n v="80"/>
    <n v="80"/>
    <n v="30"/>
    <x v="1"/>
    <x v="0"/>
  </r>
  <r>
    <x v="115"/>
    <s v="Swinub"/>
    <x v="11"/>
    <x v="3"/>
    <x v="53"/>
    <n v="50"/>
    <n v="50"/>
    <n v="40"/>
    <n v="30"/>
    <n v="30"/>
    <n v="50"/>
    <x v="1"/>
    <x v="0"/>
  </r>
  <r>
    <x v="116"/>
    <s v="Piloswine"/>
    <x v="11"/>
    <x v="3"/>
    <x v="25"/>
    <n v="100"/>
    <n v="100"/>
    <n v="80"/>
    <n v="60"/>
    <n v="60"/>
    <n v="50"/>
    <x v="1"/>
    <x v="0"/>
  </r>
  <r>
    <x v="117"/>
    <s v="Corsola"/>
    <x v="5"/>
    <x v="10"/>
    <x v="62"/>
    <n v="55"/>
    <n v="55"/>
    <n v="85"/>
    <n v="65"/>
    <n v="85"/>
    <n v="35"/>
    <x v="1"/>
    <x v="0"/>
  </r>
  <r>
    <x v="118"/>
    <s v="Delibird"/>
    <x v="11"/>
    <x v="1"/>
    <x v="54"/>
    <n v="45"/>
    <n v="55"/>
    <n v="45"/>
    <n v="65"/>
    <n v="45"/>
    <n v="75"/>
    <x v="1"/>
    <x v="0"/>
  </r>
  <r>
    <x v="119"/>
    <s v="Mantine"/>
    <x v="5"/>
    <x v="1"/>
    <x v="34"/>
    <n v="65"/>
    <n v="40"/>
    <n v="70"/>
    <n v="80"/>
    <n v="140"/>
    <n v="70"/>
    <x v="1"/>
    <x v="0"/>
  </r>
  <r>
    <x v="120"/>
    <s v="Skarmory"/>
    <x v="15"/>
    <x v="1"/>
    <x v="34"/>
    <n v="65"/>
    <n v="80"/>
    <n v="140"/>
    <n v="40"/>
    <n v="70"/>
    <n v="70"/>
    <x v="1"/>
    <x v="0"/>
  </r>
  <r>
    <x v="121"/>
    <s v="Houndour"/>
    <x v="14"/>
    <x v="14"/>
    <x v="54"/>
    <n v="45"/>
    <n v="60"/>
    <n v="30"/>
    <n v="80"/>
    <n v="50"/>
    <n v="65"/>
    <x v="1"/>
    <x v="0"/>
  </r>
  <r>
    <x v="122"/>
    <s v="Houndoom"/>
    <x v="14"/>
    <x v="14"/>
    <x v="39"/>
    <n v="75"/>
    <n v="90"/>
    <n v="50"/>
    <n v="110"/>
    <n v="80"/>
    <n v="95"/>
    <x v="1"/>
    <x v="0"/>
  </r>
  <r>
    <x v="123"/>
    <s v="HoundoomMega Houndoom"/>
    <x v="14"/>
    <x v="14"/>
    <x v="40"/>
    <n v="75"/>
    <n v="90"/>
    <n v="90"/>
    <n v="140"/>
    <n v="90"/>
    <n v="115"/>
    <x v="1"/>
    <x v="0"/>
  </r>
  <r>
    <x v="124"/>
    <s v="Kingdra"/>
    <x v="5"/>
    <x v="2"/>
    <x v="45"/>
    <n v="75"/>
    <n v="95"/>
    <n v="95"/>
    <n v="95"/>
    <n v="95"/>
    <n v="85"/>
    <x v="1"/>
    <x v="0"/>
  </r>
  <r>
    <x v="125"/>
    <s v="Smoochum"/>
    <x v="11"/>
    <x v="7"/>
    <x v="24"/>
    <n v="45"/>
    <n v="30"/>
    <n v="15"/>
    <n v="85"/>
    <n v="65"/>
    <n v="65"/>
    <x v="1"/>
    <x v="0"/>
  </r>
  <r>
    <x v="126"/>
    <s v="Larvitar"/>
    <x v="6"/>
    <x v="3"/>
    <x v="27"/>
    <n v="50"/>
    <n v="64"/>
    <n v="50"/>
    <n v="45"/>
    <n v="50"/>
    <n v="41"/>
    <x v="1"/>
    <x v="0"/>
  </r>
  <r>
    <x v="127"/>
    <s v="Pupitar"/>
    <x v="6"/>
    <x v="3"/>
    <x v="61"/>
    <n v="70"/>
    <n v="84"/>
    <n v="70"/>
    <n v="65"/>
    <n v="70"/>
    <n v="51"/>
    <x v="1"/>
    <x v="0"/>
  </r>
  <r>
    <x v="128"/>
    <s v="Tyranitar"/>
    <x v="6"/>
    <x v="11"/>
    <x v="40"/>
    <n v="100"/>
    <n v="134"/>
    <n v="110"/>
    <n v="95"/>
    <n v="100"/>
    <n v="61"/>
    <x v="1"/>
    <x v="0"/>
  </r>
  <r>
    <x v="129"/>
    <s v="TyranitarMega Tyranitar"/>
    <x v="6"/>
    <x v="11"/>
    <x v="63"/>
    <n v="100"/>
    <n v="164"/>
    <n v="150"/>
    <n v="95"/>
    <n v="120"/>
    <n v="71"/>
    <x v="1"/>
    <x v="0"/>
  </r>
  <r>
    <x v="130"/>
    <s v="Lugia"/>
    <x v="10"/>
    <x v="1"/>
    <x v="64"/>
    <n v="106"/>
    <n v="90"/>
    <n v="130"/>
    <n v="90"/>
    <n v="154"/>
    <n v="110"/>
    <x v="1"/>
    <x v="1"/>
  </r>
  <r>
    <x v="131"/>
    <s v="Ho-oh"/>
    <x v="1"/>
    <x v="1"/>
    <x v="64"/>
    <n v="106"/>
    <n v="130"/>
    <n v="90"/>
    <n v="110"/>
    <n v="154"/>
    <n v="90"/>
    <x v="1"/>
    <x v="1"/>
  </r>
  <r>
    <x v="132"/>
    <s v="Celebi"/>
    <x v="10"/>
    <x v="5"/>
    <x v="40"/>
    <n v="100"/>
    <n v="100"/>
    <n v="100"/>
    <n v="100"/>
    <n v="100"/>
    <n v="100"/>
    <x v="1"/>
    <x v="0"/>
  </r>
  <r>
    <x v="133"/>
    <s v="SceptileMega Sceptile"/>
    <x v="0"/>
    <x v="2"/>
    <x v="65"/>
    <n v="70"/>
    <n v="110"/>
    <n v="75"/>
    <n v="145"/>
    <n v="85"/>
    <n v="145"/>
    <x v="2"/>
    <x v="0"/>
  </r>
  <r>
    <x v="134"/>
    <s v="Combusken"/>
    <x v="1"/>
    <x v="6"/>
    <x v="1"/>
    <n v="60"/>
    <n v="85"/>
    <n v="60"/>
    <n v="85"/>
    <n v="60"/>
    <n v="55"/>
    <x v="2"/>
    <x v="0"/>
  </r>
  <r>
    <x v="135"/>
    <s v="Blaziken"/>
    <x v="1"/>
    <x v="6"/>
    <x v="66"/>
    <n v="80"/>
    <n v="120"/>
    <n v="70"/>
    <n v="110"/>
    <n v="70"/>
    <n v="80"/>
    <x v="2"/>
    <x v="0"/>
  </r>
  <r>
    <x v="136"/>
    <s v="BlazikenMega Blaziken"/>
    <x v="1"/>
    <x v="6"/>
    <x v="65"/>
    <n v="80"/>
    <n v="160"/>
    <n v="80"/>
    <n v="130"/>
    <n v="80"/>
    <n v="100"/>
    <x v="2"/>
    <x v="0"/>
  </r>
  <r>
    <x v="137"/>
    <s v="Marshtomp"/>
    <x v="5"/>
    <x v="3"/>
    <x v="1"/>
    <n v="70"/>
    <n v="85"/>
    <n v="70"/>
    <n v="60"/>
    <n v="70"/>
    <n v="50"/>
    <x v="2"/>
    <x v="0"/>
  </r>
  <r>
    <x v="138"/>
    <s v="Swampert"/>
    <x v="5"/>
    <x v="3"/>
    <x v="47"/>
    <n v="100"/>
    <n v="110"/>
    <n v="90"/>
    <n v="85"/>
    <n v="90"/>
    <n v="60"/>
    <x v="2"/>
    <x v="0"/>
  </r>
  <r>
    <x v="139"/>
    <s v="SwampertMega Swampert"/>
    <x v="5"/>
    <x v="3"/>
    <x v="67"/>
    <n v="100"/>
    <n v="150"/>
    <n v="110"/>
    <n v="95"/>
    <n v="110"/>
    <n v="70"/>
    <x v="2"/>
    <x v="0"/>
  </r>
  <r>
    <x v="140"/>
    <s v="Beautifly"/>
    <x v="2"/>
    <x v="1"/>
    <x v="6"/>
    <n v="60"/>
    <n v="70"/>
    <n v="50"/>
    <n v="100"/>
    <n v="50"/>
    <n v="65"/>
    <x v="2"/>
    <x v="0"/>
  </r>
  <r>
    <x v="141"/>
    <s v="Dustox"/>
    <x v="2"/>
    <x v="0"/>
    <x v="41"/>
    <n v="60"/>
    <n v="50"/>
    <n v="70"/>
    <n v="50"/>
    <n v="90"/>
    <n v="65"/>
    <x v="2"/>
    <x v="0"/>
  </r>
  <r>
    <x v="142"/>
    <s v="Lotad"/>
    <x v="5"/>
    <x v="5"/>
    <x v="68"/>
    <n v="40"/>
    <n v="30"/>
    <n v="30"/>
    <n v="40"/>
    <n v="50"/>
    <n v="30"/>
    <x v="2"/>
    <x v="0"/>
  </r>
  <r>
    <x v="143"/>
    <s v="Lombre"/>
    <x v="5"/>
    <x v="5"/>
    <x v="59"/>
    <n v="60"/>
    <n v="50"/>
    <n v="50"/>
    <n v="60"/>
    <n v="70"/>
    <n v="50"/>
    <x v="2"/>
    <x v="0"/>
  </r>
  <r>
    <x v="144"/>
    <s v="Ludicolo"/>
    <x v="5"/>
    <x v="5"/>
    <x v="69"/>
    <n v="80"/>
    <n v="70"/>
    <n v="70"/>
    <n v="90"/>
    <n v="100"/>
    <n v="70"/>
    <x v="2"/>
    <x v="0"/>
  </r>
  <r>
    <x v="145"/>
    <s v="Nuzleaf"/>
    <x v="0"/>
    <x v="11"/>
    <x v="59"/>
    <n v="70"/>
    <n v="70"/>
    <n v="40"/>
    <n v="60"/>
    <n v="40"/>
    <n v="60"/>
    <x v="2"/>
    <x v="0"/>
  </r>
  <r>
    <x v="146"/>
    <s v="Shiftry"/>
    <x v="0"/>
    <x v="11"/>
    <x v="69"/>
    <n v="90"/>
    <n v="100"/>
    <n v="60"/>
    <n v="90"/>
    <n v="60"/>
    <n v="80"/>
    <x v="2"/>
    <x v="0"/>
  </r>
  <r>
    <x v="147"/>
    <s v="Taillow"/>
    <x v="3"/>
    <x v="1"/>
    <x v="17"/>
    <n v="40"/>
    <n v="55"/>
    <n v="30"/>
    <n v="30"/>
    <n v="30"/>
    <n v="85"/>
    <x v="2"/>
    <x v="0"/>
  </r>
  <r>
    <x v="148"/>
    <s v="Swellow"/>
    <x v="3"/>
    <x v="1"/>
    <x v="60"/>
    <n v="60"/>
    <n v="85"/>
    <n v="60"/>
    <n v="50"/>
    <n v="50"/>
    <n v="125"/>
    <x v="2"/>
    <x v="0"/>
  </r>
  <r>
    <x v="149"/>
    <s v="Wingull"/>
    <x v="5"/>
    <x v="1"/>
    <x v="17"/>
    <n v="40"/>
    <n v="30"/>
    <n v="30"/>
    <n v="55"/>
    <n v="30"/>
    <n v="85"/>
    <x v="2"/>
    <x v="0"/>
  </r>
  <r>
    <x v="150"/>
    <s v="Pelipper"/>
    <x v="5"/>
    <x v="1"/>
    <x v="60"/>
    <n v="60"/>
    <n v="50"/>
    <n v="100"/>
    <n v="85"/>
    <n v="70"/>
    <n v="65"/>
    <x v="2"/>
    <x v="0"/>
  </r>
  <r>
    <x v="151"/>
    <s v="Ralts"/>
    <x v="10"/>
    <x v="4"/>
    <x v="70"/>
    <n v="28"/>
    <n v="25"/>
    <n v="25"/>
    <n v="45"/>
    <n v="35"/>
    <n v="40"/>
    <x v="2"/>
    <x v="0"/>
  </r>
  <r>
    <x v="152"/>
    <s v="Kirlia"/>
    <x v="10"/>
    <x v="4"/>
    <x v="71"/>
    <n v="38"/>
    <n v="35"/>
    <n v="35"/>
    <n v="65"/>
    <n v="55"/>
    <n v="50"/>
    <x v="2"/>
    <x v="0"/>
  </r>
  <r>
    <x v="153"/>
    <s v="Gardevoir"/>
    <x v="10"/>
    <x v="4"/>
    <x v="72"/>
    <n v="68"/>
    <n v="65"/>
    <n v="65"/>
    <n v="125"/>
    <n v="115"/>
    <n v="80"/>
    <x v="2"/>
    <x v="0"/>
  </r>
  <r>
    <x v="154"/>
    <s v="GardevoirMega Gardevoir"/>
    <x v="10"/>
    <x v="4"/>
    <x v="73"/>
    <n v="68"/>
    <n v="85"/>
    <n v="65"/>
    <n v="165"/>
    <n v="135"/>
    <n v="100"/>
    <x v="2"/>
    <x v="0"/>
  </r>
  <r>
    <x v="155"/>
    <s v="Surskit"/>
    <x v="2"/>
    <x v="12"/>
    <x v="74"/>
    <n v="40"/>
    <n v="30"/>
    <n v="32"/>
    <n v="50"/>
    <n v="52"/>
    <n v="65"/>
    <x v="2"/>
    <x v="0"/>
  </r>
  <r>
    <x v="156"/>
    <s v="Masquerain"/>
    <x v="2"/>
    <x v="1"/>
    <x v="75"/>
    <n v="70"/>
    <n v="60"/>
    <n v="62"/>
    <n v="80"/>
    <n v="82"/>
    <n v="60"/>
    <x v="2"/>
    <x v="0"/>
  </r>
  <r>
    <x v="157"/>
    <s v="Breloom"/>
    <x v="0"/>
    <x v="6"/>
    <x v="37"/>
    <n v="60"/>
    <n v="130"/>
    <n v="80"/>
    <n v="60"/>
    <n v="60"/>
    <n v="70"/>
    <x v="2"/>
    <x v="0"/>
  </r>
  <r>
    <x v="158"/>
    <s v="Nincada"/>
    <x v="2"/>
    <x v="3"/>
    <x v="76"/>
    <n v="31"/>
    <n v="45"/>
    <n v="90"/>
    <n v="30"/>
    <n v="30"/>
    <n v="40"/>
    <x v="2"/>
    <x v="0"/>
  </r>
  <r>
    <x v="159"/>
    <s v="Ninjask"/>
    <x v="2"/>
    <x v="1"/>
    <x v="77"/>
    <n v="61"/>
    <n v="90"/>
    <n v="45"/>
    <n v="50"/>
    <n v="50"/>
    <n v="160"/>
    <x v="2"/>
    <x v="0"/>
  </r>
  <r>
    <x v="160"/>
    <s v="Shedinja"/>
    <x v="2"/>
    <x v="15"/>
    <x v="78"/>
    <n v="1"/>
    <n v="90"/>
    <n v="45"/>
    <n v="30"/>
    <n v="30"/>
    <n v="40"/>
    <x v="2"/>
    <x v="0"/>
  </r>
  <r>
    <x v="161"/>
    <s v="Azurill"/>
    <x v="3"/>
    <x v="4"/>
    <x v="79"/>
    <n v="50"/>
    <n v="20"/>
    <n v="40"/>
    <n v="20"/>
    <n v="40"/>
    <n v="20"/>
    <x v="2"/>
    <x v="0"/>
  </r>
  <r>
    <x v="162"/>
    <s v="Sableye"/>
    <x v="14"/>
    <x v="15"/>
    <x v="62"/>
    <n v="50"/>
    <n v="75"/>
    <n v="75"/>
    <n v="65"/>
    <n v="65"/>
    <n v="50"/>
    <x v="2"/>
    <x v="0"/>
  </r>
  <r>
    <x v="163"/>
    <s v="SableyeMega Sableye"/>
    <x v="14"/>
    <x v="15"/>
    <x v="69"/>
    <n v="50"/>
    <n v="85"/>
    <n v="125"/>
    <n v="85"/>
    <n v="115"/>
    <n v="20"/>
    <x v="2"/>
    <x v="0"/>
  </r>
  <r>
    <x v="164"/>
    <s v="Mawile"/>
    <x v="15"/>
    <x v="4"/>
    <x v="62"/>
    <n v="50"/>
    <n v="85"/>
    <n v="85"/>
    <n v="55"/>
    <n v="55"/>
    <n v="50"/>
    <x v="2"/>
    <x v="0"/>
  </r>
  <r>
    <x v="165"/>
    <s v="MawileMega Mawile"/>
    <x v="15"/>
    <x v="4"/>
    <x v="69"/>
    <n v="50"/>
    <n v="105"/>
    <n v="125"/>
    <n v="55"/>
    <n v="95"/>
    <n v="50"/>
    <x v="2"/>
    <x v="0"/>
  </r>
  <r>
    <x v="166"/>
    <s v="Aron"/>
    <x v="15"/>
    <x v="10"/>
    <x v="54"/>
    <n v="50"/>
    <n v="70"/>
    <n v="100"/>
    <n v="40"/>
    <n v="40"/>
    <n v="30"/>
    <x v="2"/>
    <x v="0"/>
  </r>
  <r>
    <x v="167"/>
    <s v="Lairon"/>
    <x v="15"/>
    <x v="10"/>
    <x v="60"/>
    <n v="60"/>
    <n v="90"/>
    <n v="140"/>
    <n v="50"/>
    <n v="50"/>
    <n v="40"/>
    <x v="2"/>
    <x v="0"/>
  </r>
  <r>
    <x v="168"/>
    <s v="Aggron"/>
    <x v="15"/>
    <x v="10"/>
    <x v="66"/>
    <n v="70"/>
    <n v="110"/>
    <n v="180"/>
    <n v="60"/>
    <n v="60"/>
    <n v="50"/>
    <x v="2"/>
    <x v="0"/>
  </r>
  <r>
    <x v="169"/>
    <s v="Meditite"/>
    <x v="16"/>
    <x v="7"/>
    <x v="80"/>
    <n v="30"/>
    <n v="40"/>
    <n v="55"/>
    <n v="40"/>
    <n v="55"/>
    <n v="60"/>
    <x v="2"/>
    <x v="0"/>
  </r>
  <r>
    <x v="170"/>
    <s v="Medicham"/>
    <x v="16"/>
    <x v="7"/>
    <x v="61"/>
    <n v="60"/>
    <n v="60"/>
    <n v="75"/>
    <n v="60"/>
    <n v="75"/>
    <n v="80"/>
    <x v="2"/>
    <x v="0"/>
  </r>
  <r>
    <x v="171"/>
    <s v="MedichamMega Medicham"/>
    <x v="16"/>
    <x v="7"/>
    <x v="26"/>
    <n v="60"/>
    <n v="100"/>
    <n v="85"/>
    <n v="80"/>
    <n v="85"/>
    <n v="100"/>
    <x v="2"/>
    <x v="0"/>
  </r>
  <r>
    <x v="172"/>
    <s v="Roselia"/>
    <x v="0"/>
    <x v="0"/>
    <x v="81"/>
    <n v="50"/>
    <n v="60"/>
    <n v="45"/>
    <n v="100"/>
    <n v="80"/>
    <n v="65"/>
    <x v="2"/>
    <x v="0"/>
  </r>
  <r>
    <x v="173"/>
    <s v="Carvanha"/>
    <x v="5"/>
    <x v="11"/>
    <x v="24"/>
    <n v="45"/>
    <n v="90"/>
    <n v="20"/>
    <n v="65"/>
    <n v="20"/>
    <n v="65"/>
    <x v="2"/>
    <x v="0"/>
  </r>
  <r>
    <x v="174"/>
    <s v="Sharpedo"/>
    <x v="5"/>
    <x v="11"/>
    <x v="37"/>
    <n v="70"/>
    <n v="120"/>
    <n v="40"/>
    <n v="95"/>
    <n v="40"/>
    <n v="95"/>
    <x v="2"/>
    <x v="0"/>
  </r>
  <r>
    <x v="175"/>
    <s v="SharpedoMega Sharpedo"/>
    <x v="5"/>
    <x v="11"/>
    <x v="82"/>
    <n v="70"/>
    <n v="140"/>
    <n v="70"/>
    <n v="110"/>
    <n v="65"/>
    <n v="105"/>
    <x v="2"/>
    <x v="0"/>
  </r>
  <r>
    <x v="176"/>
    <s v="Numel"/>
    <x v="1"/>
    <x v="3"/>
    <x v="24"/>
    <n v="60"/>
    <n v="60"/>
    <n v="40"/>
    <n v="65"/>
    <n v="45"/>
    <n v="35"/>
    <x v="2"/>
    <x v="0"/>
  </r>
  <r>
    <x v="177"/>
    <s v="Camerupt"/>
    <x v="1"/>
    <x v="3"/>
    <x v="37"/>
    <n v="70"/>
    <n v="100"/>
    <n v="70"/>
    <n v="105"/>
    <n v="75"/>
    <n v="40"/>
    <x v="2"/>
    <x v="0"/>
  </r>
  <r>
    <x v="178"/>
    <s v="CameruptMega Camerupt"/>
    <x v="1"/>
    <x v="3"/>
    <x v="82"/>
    <n v="70"/>
    <n v="120"/>
    <n v="100"/>
    <n v="145"/>
    <n v="105"/>
    <n v="20"/>
    <x v="2"/>
    <x v="0"/>
  </r>
  <r>
    <x v="179"/>
    <s v="Vibrava"/>
    <x v="9"/>
    <x v="2"/>
    <x v="59"/>
    <n v="50"/>
    <n v="70"/>
    <n v="50"/>
    <n v="50"/>
    <n v="50"/>
    <n v="70"/>
    <x v="2"/>
    <x v="0"/>
  </r>
  <r>
    <x v="180"/>
    <s v="Flygon"/>
    <x v="9"/>
    <x v="2"/>
    <x v="42"/>
    <n v="80"/>
    <n v="100"/>
    <n v="80"/>
    <n v="80"/>
    <n v="80"/>
    <n v="100"/>
    <x v="2"/>
    <x v="0"/>
  </r>
  <r>
    <x v="181"/>
    <s v="Cacturne"/>
    <x v="0"/>
    <x v="11"/>
    <x v="38"/>
    <n v="70"/>
    <n v="115"/>
    <n v="60"/>
    <n v="115"/>
    <n v="60"/>
    <n v="55"/>
    <x v="2"/>
    <x v="0"/>
  </r>
  <r>
    <x v="182"/>
    <s v="Swablu"/>
    <x v="3"/>
    <x v="1"/>
    <x v="36"/>
    <n v="45"/>
    <n v="40"/>
    <n v="60"/>
    <n v="40"/>
    <n v="75"/>
    <n v="50"/>
    <x v="2"/>
    <x v="0"/>
  </r>
  <r>
    <x v="183"/>
    <s v="Altaria"/>
    <x v="12"/>
    <x v="1"/>
    <x v="22"/>
    <n v="75"/>
    <n v="70"/>
    <n v="90"/>
    <n v="70"/>
    <n v="105"/>
    <n v="80"/>
    <x v="2"/>
    <x v="0"/>
  </r>
  <r>
    <x v="184"/>
    <s v="AltariaMega Altaria"/>
    <x v="12"/>
    <x v="4"/>
    <x v="32"/>
    <n v="75"/>
    <n v="110"/>
    <n v="110"/>
    <n v="110"/>
    <n v="105"/>
    <n v="80"/>
    <x v="2"/>
    <x v="0"/>
  </r>
  <r>
    <x v="185"/>
    <s v="Lunatone"/>
    <x v="6"/>
    <x v="7"/>
    <x v="83"/>
    <n v="70"/>
    <n v="55"/>
    <n v="65"/>
    <n v="95"/>
    <n v="85"/>
    <n v="70"/>
    <x v="2"/>
    <x v="0"/>
  </r>
  <r>
    <x v="186"/>
    <s v="Solrock"/>
    <x v="6"/>
    <x v="7"/>
    <x v="83"/>
    <n v="70"/>
    <n v="95"/>
    <n v="85"/>
    <n v="55"/>
    <n v="65"/>
    <n v="70"/>
    <x v="2"/>
    <x v="0"/>
  </r>
  <r>
    <x v="187"/>
    <s v="Barboach"/>
    <x v="5"/>
    <x v="3"/>
    <x v="84"/>
    <n v="50"/>
    <n v="48"/>
    <n v="43"/>
    <n v="46"/>
    <n v="41"/>
    <n v="60"/>
    <x v="2"/>
    <x v="0"/>
  </r>
  <r>
    <x v="188"/>
    <s v="Whiscash"/>
    <x v="5"/>
    <x v="3"/>
    <x v="85"/>
    <n v="110"/>
    <n v="78"/>
    <n v="73"/>
    <n v="76"/>
    <n v="71"/>
    <n v="60"/>
    <x v="2"/>
    <x v="0"/>
  </r>
  <r>
    <x v="189"/>
    <s v="Crawdaunt"/>
    <x v="5"/>
    <x v="11"/>
    <x v="85"/>
    <n v="63"/>
    <n v="120"/>
    <n v="85"/>
    <n v="90"/>
    <n v="55"/>
    <n v="55"/>
    <x v="2"/>
    <x v="0"/>
  </r>
  <r>
    <x v="190"/>
    <s v="Baltoy"/>
    <x v="9"/>
    <x v="7"/>
    <x v="27"/>
    <n v="40"/>
    <n v="40"/>
    <n v="55"/>
    <n v="40"/>
    <n v="70"/>
    <n v="55"/>
    <x v="2"/>
    <x v="0"/>
  </r>
  <r>
    <x v="191"/>
    <s v="Claydol"/>
    <x v="9"/>
    <x v="7"/>
    <x v="39"/>
    <n v="60"/>
    <n v="70"/>
    <n v="105"/>
    <n v="70"/>
    <n v="120"/>
    <n v="75"/>
    <x v="2"/>
    <x v="0"/>
  </r>
  <r>
    <x v="192"/>
    <s v="Lileep"/>
    <x v="6"/>
    <x v="5"/>
    <x v="48"/>
    <n v="66"/>
    <n v="41"/>
    <n v="77"/>
    <n v="61"/>
    <n v="87"/>
    <n v="23"/>
    <x v="2"/>
    <x v="0"/>
  </r>
  <r>
    <x v="193"/>
    <s v="Cradily"/>
    <x v="6"/>
    <x v="5"/>
    <x v="9"/>
    <n v="86"/>
    <n v="81"/>
    <n v="97"/>
    <n v="81"/>
    <n v="107"/>
    <n v="43"/>
    <x v="2"/>
    <x v="0"/>
  </r>
  <r>
    <x v="194"/>
    <s v="Anorith"/>
    <x v="6"/>
    <x v="16"/>
    <x v="48"/>
    <n v="45"/>
    <n v="95"/>
    <n v="50"/>
    <n v="40"/>
    <n v="50"/>
    <n v="75"/>
    <x v="2"/>
    <x v="0"/>
  </r>
  <r>
    <x v="195"/>
    <s v="Armaldo"/>
    <x v="6"/>
    <x v="16"/>
    <x v="9"/>
    <n v="75"/>
    <n v="125"/>
    <n v="100"/>
    <n v="70"/>
    <n v="80"/>
    <n v="45"/>
    <x v="2"/>
    <x v="0"/>
  </r>
  <r>
    <x v="196"/>
    <s v="Tropius"/>
    <x v="0"/>
    <x v="1"/>
    <x v="37"/>
    <n v="99"/>
    <n v="68"/>
    <n v="83"/>
    <n v="72"/>
    <n v="87"/>
    <n v="51"/>
    <x v="2"/>
    <x v="0"/>
  </r>
  <r>
    <x v="197"/>
    <s v="Spheal"/>
    <x v="11"/>
    <x v="12"/>
    <x v="86"/>
    <n v="70"/>
    <n v="40"/>
    <n v="50"/>
    <n v="55"/>
    <n v="50"/>
    <n v="25"/>
    <x v="2"/>
    <x v="0"/>
  </r>
  <r>
    <x v="198"/>
    <s v="Sealeo"/>
    <x v="11"/>
    <x v="12"/>
    <x v="61"/>
    <n v="90"/>
    <n v="60"/>
    <n v="70"/>
    <n v="75"/>
    <n v="70"/>
    <n v="45"/>
    <x v="2"/>
    <x v="0"/>
  </r>
  <r>
    <x v="199"/>
    <s v="Walrein"/>
    <x v="11"/>
    <x v="12"/>
    <x v="66"/>
    <n v="110"/>
    <n v="80"/>
    <n v="90"/>
    <n v="95"/>
    <n v="90"/>
    <n v="65"/>
    <x v="2"/>
    <x v="0"/>
  </r>
  <r>
    <x v="200"/>
    <s v="Relicanth"/>
    <x v="5"/>
    <x v="10"/>
    <x v="44"/>
    <n v="100"/>
    <n v="90"/>
    <n v="130"/>
    <n v="45"/>
    <n v="65"/>
    <n v="55"/>
    <x v="2"/>
    <x v="0"/>
  </r>
  <r>
    <x v="201"/>
    <s v="Salamence"/>
    <x v="12"/>
    <x v="1"/>
    <x v="40"/>
    <n v="95"/>
    <n v="135"/>
    <n v="80"/>
    <n v="110"/>
    <n v="80"/>
    <n v="100"/>
    <x v="2"/>
    <x v="0"/>
  </r>
  <r>
    <x v="202"/>
    <s v="SalamenceMega Salamence"/>
    <x v="12"/>
    <x v="1"/>
    <x v="63"/>
    <n v="95"/>
    <n v="145"/>
    <n v="130"/>
    <n v="120"/>
    <n v="90"/>
    <n v="120"/>
    <x v="2"/>
    <x v="0"/>
  </r>
  <r>
    <x v="203"/>
    <s v="Beldum"/>
    <x v="15"/>
    <x v="7"/>
    <x v="27"/>
    <n v="40"/>
    <n v="55"/>
    <n v="80"/>
    <n v="35"/>
    <n v="60"/>
    <n v="30"/>
    <x v="2"/>
    <x v="0"/>
  </r>
  <r>
    <x v="204"/>
    <s v="Metang"/>
    <x v="15"/>
    <x v="7"/>
    <x v="58"/>
    <n v="60"/>
    <n v="75"/>
    <n v="100"/>
    <n v="55"/>
    <n v="80"/>
    <n v="50"/>
    <x v="2"/>
    <x v="0"/>
  </r>
  <r>
    <x v="205"/>
    <s v="Metagross"/>
    <x v="15"/>
    <x v="7"/>
    <x v="40"/>
    <n v="80"/>
    <n v="135"/>
    <n v="130"/>
    <n v="95"/>
    <n v="90"/>
    <n v="70"/>
    <x v="2"/>
    <x v="0"/>
  </r>
  <r>
    <x v="206"/>
    <s v="MetagrossMega Metagross"/>
    <x v="15"/>
    <x v="7"/>
    <x v="63"/>
    <n v="80"/>
    <n v="145"/>
    <n v="150"/>
    <n v="105"/>
    <n v="110"/>
    <n v="110"/>
    <x v="2"/>
    <x v="0"/>
  </r>
  <r>
    <x v="207"/>
    <s v="Latias"/>
    <x v="12"/>
    <x v="7"/>
    <x v="40"/>
    <n v="80"/>
    <n v="80"/>
    <n v="90"/>
    <n v="110"/>
    <n v="130"/>
    <n v="110"/>
    <x v="2"/>
    <x v="1"/>
  </r>
  <r>
    <x v="208"/>
    <s v="LatiasMega Latias"/>
    <x v="12"/>
    <x v="7"/>
    <x v="63"/>
    <n v="80"/>
    <n v="100"/>
    <n v="120"/>
    <n v="140"/>
    <n v="150"/>
    <n v="110"/>
    <x v="2"/>
    <x v="1"/>
  </r>
  <r>
    <x v="209"/>
    <s v="Latios"/>
    <x v="12"/>
    <x v="7"/>
    <x v="40"/>
    <n v="80"/>
    <n v="90"/>
    <n v="80"/>
    <n v="130"/>
    <n v="110"/>
    <n v="110"/>
    <x v="2"/>
    <x v="1"/>
  </r>
  <r>
    <x v="210"/>
    <s v="LatiosMega Latios"/>
    <x v="12"/>
    <x v="7"/>
    <x v="63"/>
    <n v="80"/>
    <n v="130"/>
    <n v="100"/>
    <n v="160"/>
    <n v="120"/>
    <n v="110"/>
    <x v="2"/>
    <x v="1"/>
  </r>
  <r>
    <x v="211"/>
    <s v="GroudonPrimal Groudon"/>
    <x v="9"/>
    <x v="14"/>
    <x v="87"/>
    <n v="100"/>
    <n v="180"/>
    <n v="160"/>
    <n v="150"/>
    <n v="90"/>
    <n v="90"/>
    <x v="2"/>
    <x v="1"/>
  </r>
  <r>
    <x v="212"/>
    <s v="Rayquaza"/>
    <x v="12"/>
    <x v="1"/>
    <x v="64"/>
    <n v="105"/>
    <n v="150"/>
    <n v="90"/>
    <n v="150"/>
    <n v="90"/>
    <n v="95"/>
    <x v="2"/>
    <x v="1"/>
  </r>
  <r>
    <x v="213"/>
    <s v="RayquazaMega Rayquaza"/>
    <x v="12"/>
    <x v="1"/>
    <x v="51"/>
    <n v="105"/>
    <n v="180"/>
    <n v="100"/>
    <n v="180"/>
    <n v="100"/>
    <n v="115"/>
    <x v="2"/>
    <x v="1"/>
  </r>
  <r>
    <x v="214"/>
    <s v="Jirachi"/>
    <x v="15"/>
    <x v="7"/>
    <x v="40"/>
    <n v="100"/>
    <n v="100"/>
    <n v="100"/>
    <n v="100"/>
    <n v="100"/>
    <n v="100"/>
    <x v="2"/>
    <x v="1"/>
  </r>
  <r>
    <x v="215"/>
    <s v="Torterra"/>
    <x v="0"/>
    <x v="3"/>
    <x v="2"/>
    <n v="95"/>
    <n v="109"/>
    <n v="105"/>
    <n v="75"/>
    <n v="85"/>
    <n v="56"/>
    <x v="3"/>
    <x v="0"/>
  </r>
  <r>
    <x v="216"/>
    <s v="Monferno"/>
    <x v="1"/>
    <x v="6"/>
    <x v="1"/>
    <n v="64"/>
    <n v="78"/>
    <n v="52"/>
    <n v="78"/>
    <n v="52"/>
    <n v="81"/>
    <x v="3"/>
    <x v="0"/>
  </r>
  <r>
    <x v="217"/>
    <s v="Infernape"/>
    <x v="1"/>
    <x v="6"/>
    <x v="4"/>
    <n v="76"/>
    <n v="104"/>
    <n v="71"/>
    <n v="104"/>
    <n v="71"/>
    <n v="108"/>
    <x v="3"/>
    <x v="0"/>
  </r>
  <r>
    <x v="218"/>
    <s v="Empoleon"/>
    <x v="5"/>
    <x v="8"/>
    <x v="66"/>
    <n v="84"/>
    <n v="86"/>
    <n v="88"/>
    <n v="111"/>
    <n v="101"/>
    <n v="60"/>
    <x v="3"/>
    <x v="0"/>
  </r>
  <r>
    <x v="219"/>
    <s v="Starly"/>
    <x v="3"/>
    <x v="1"/>
    <x v="19"/>
    <n v="40"/>
    <n v="55"/>
    <n v="30"/>
    <n v="30"/>
    <n v="30"/>
    <n v="60"/>
    <x v="3"/>
    <x v="0"/>
  </r>
  <r>
    <x v="220"/>
    <s v="Staravia"/>
    <x v="3"/>
    <x v="1"/>
    <x v="59"/>
    <n v="55"/>
    <n v="75"/>
    <n v="50"/>
    <n v="40"/>
    <n v="40"/>
    <n v="80"/>
    <x v="3"/>
    <x v="0"/>
  </r>
  <r>
    <x v="221"/>
    <s v="Staraptor"/>
    <x v="3"/>
    <x v="1"/>
    <x v="44"/>
    <n v="85"/>
    <n v="120"/>
    <n v="70"/>
    <n v="50"/>
    <n v="60"/>
    <n v="100"/>
    <x v="3"/>
    <x v="0"/>
  </r>
  <r>
    <x v="222"/>
    <s v="Bibarel"/>
    <x v="3"/>
    <x v="12"/>
    <x v="61"/>
    <n v="79"/>
    <n v="85"/>
    <n v="60"/>
    <n v="55"/>
    <n v="60"/>
    <n v="71"/>
    <x v="3"/>
    <x v="0"/>
  </r>
  <r>
    <x v="223"/>
    <s v="Budew"/>
    <x v="0"/>
    <x v="0"/>
    <x v="80"/>
    <n v="40"/>
    <n v="30"/>
    <n v="35"/>
    <n v="50"/>
    <n v="70"/>
    <n v="55"/>
    <x v="3"/>
    <x v="0"/>
  </r>
  <r>
    <x v="224"/>
    <s v="Roserade"/>
    <x v="0"/>
    <x v="0"/>
    <x v="30"/>
    <n v="60"/>
    <n v="70"/>
    <n v="65"/>
    <n v="125"/>
    <n v="105"/>
    <n v="90"/>
    <x v="3"/>
    <x v="0"/>
  </r>
  <r>
    <x v="225"/>
    <s v="Shieldon"/>
    <x v="6"/>
    <x v="8"/>
    <x v="88"/>
    <n v="30"/>
    <n v="42"/>
    <n v="118"/>
    <n v="42"/>
    <n v="88"/>
    <n v="30"/>
    <x v="3"/>
    <x v="0"/>
  </r>
  <r>
    <x v="226"/>
    <s v="Bastiodon"/>
    <x v="6"/>
    <x v="8"/>
    <x v="9"/>
    <n v="60"/>
    <n v="52"/>
    <n v="168"/>
    <n v="47"/>
    <n v="138"/>
    <n v="30"/>
    <x v="3"/>
    <x v="0"/>
  </r>
  <r>
    <x v="227"/>
    <s v="WormadamPlant Cloak"/>
    <x v="2"/>
    <x v="5"/>
    <x v="89"/>
    <n v="60"/>
    <n v="59"/>
    <n v="85"/>
    <n v="79"/>
    <n v="105"/>
    <n v="36"/>
    <x v="3"/>
    <x v="0"/>
  </r>
  <r>
    <x v="228"/>
    <s v="WormadamSandy Cloak"/>
    <x v="2"/>
    <x v="3"/>
    <x v="89"/>
    <n v="60"/>
    <n v="79"/>
    <n v="105"/>
    <n v="59"/>
    <n v="85"/>
    <n v="36"/>
    <x v="3"/>
    <x v="0"/>
  </r>
  <r>
    <x v="229"/>
    <s v="WormadamTrash Cloak"/>
    <x v="2"/>
    <x v="8"/>
    <x v="89"/>
    <n v="60"/>
    <n v="69"/>
    <n v="95"/>
    <n v="69"/>
    <n v="95"/>
    <n v="36"/>
    <x v="3"/>
    <x v="0"/>
  </r>
  <r>
    <x v="230"/>
    <s v="Mothim"/>
    <x v="2"/>
    <x v="1"/>
    <x v="89"/>
    <n v="70"/>
    <n v="94"/>
    <n v="50"/>
    <n v="94"/>
    <n v="50"/>
    <n v="66"/>
    <x v="3"/>
    <x v="0"/>
  </r>
  <r>
    <x v="231"/>
    <s v="Combee"/>
    <x v="2"/>
    <x v="1"/>
    <x v="90"/>
    <n v="30"/>
    <n v="30"/>
    <n v="42"/>
    <n v="30"/>
    <n v="42"/>
    <n v="70"/>
    <x v="3"/>
    <x v="0"/>
  </r>
  <r>
    <x v="232"/>
    <s v="Vespiquen"/>
    <x v="2"/>
    <x v="1"/>
    <x v="91"/>
    <n v="70"/>
    <n v="80"/>
    <n v="102"/>
    <n v="80"/>
    <n v="102"/>
    <n v="40"/>
    <x v="3"/>
    <x v="0"/>
  </r>
  <r>
    <x v="233"/>
    <s v="Gastrodon"/>
    <x v="5"/>
    <x v="3"/>
    <x v="38"/>
    <n v="111"/>
    <n v="83"/>
    <n v="68"/>
    <n v="92"/>
    <n v="82"/>
    <n v="39"/>
    <x v="3"/>
    <x v="0"/>
  </r>
  <r>
    <x v="234"/>
    <s v="Drifloon"/>
    <x v="8"/>
    <x v="1"/>
    <x v="92"/>
    <n v="90"/>
    <n v="50"/>
    <n v="34"/>
    <n v="60"/>
    <n v="44"/>
    <n v="70"/>
    <x v="3"/>
    <x v="0"/>
  </r>
  <r>
    <x v="235"/>
    <s v="Drifblim"/>
    <x v="8"/>
    <x v="1"/>
    <x v="93"/>
    <n v="150"/>
    <n v="80"/>
    <n v="44"/>
    <n v="90"/>
    <n v="54"/>
    <n v="80"/>
    <x v="3"/>
    <x v="0"/>
  </r>
  <r>
    <x v="236"/>
    <s v="LopunnyMega Lopunny"/>
    <x v="3"/>
    <x v="6"/>
    <x v="50"/>
    <n v="65"/>
    <n v="136"/>
    <n v="94"/>
    <n v="54"/>
    <n v="96"/>
    <n v="135"/>
    <x v="3"/>
    <x v="0"/>
  </r>
  <r>
    <x v="237"/>
    <s v="Honchkrow"/>
    <x v="14"/>
    <x v="1"/>
    <x v="16"/>
    <n v="100"/>
    <n v="125"/>
    <n v="52"/>
    <n v="105"/>
    <n v="52"/>
    <n v="71"/>
    <x v="3"/>
    <x v="0"/>
  </r>
  <r>
    <x v="238"/>
    <s v="Stunky"/>
    <x v="4"/>
    <x v="11"/>
    <x v="94"/>
    <n v="63"/>
    <n v="63"/>
    <n v="47"/>
    <n v="41"/>
    <n v="41"/>
    <n v="74"/>
    <x v="3"/>
    <x v="0"/>
  </r>
  <r>
    <x v="239"/>
    <s v="Skuntank"/>
    <x v="4"/>
    <x v="11"/>
    <x v="12"/>
    <n v="103"/>
    <n v="93"/>
    <n v="67"/>
    <n v="71"/>
    <n v="61"/>
    <n v="84"/>
    <x v="3"/>
    <x v="0"/>
  </r>
  <r>
    <x v="240"/>
    <s v="Bronzor"/>
    <x v="15"/>
    <x v="7"/>
    <x v="27"/>
    <n v="57"/>
    <n v="24"/>
    <n v="86"/>
    <n v="24"/>
    <n v="86"/>
    <n v="23"/>
    <x v="3"/>
    <x v="0"/>
  </r>
  <r>
    <x v="241"/>
    <s v="Bronzong"/>
    <x v="15"/>
    <x v="7"/>
    <x v="39"/>
    <n v="67"/>
    <n v="89"/>
    <n v="116"/>
    <n v="79"/>
    <n v="116"/>
    <n v="33"/>
    <x v="3"/>
    <x v="0"/>
  </r>
  <r>
    <x v="242"/>
    <s v="Mime Jr."/>
    <x v="10"/>
    <x v="4"/>
    <x v="36"/>
    <n v="20"/>
    <n v="25"/>
    <n v="45"/>
    <n v="70"/>
    <n v="90"/>
    <n v="60"/>
    <x v="3"/>
    <x v="0"/>
  </r>
  <r>
    <x v="243"/>
    <s v="Chatot"/>
    <x v="3"/>
    <x v="1"/>
    <x v="95"/>
    <n v="76"/>
    <n v="65"/>
    <n v="45"/>
    <n v="92"/>
    <n v="42"/>
    <n v="91"/>
    <x v="3"/>
    <x v="0"/>
  </r>
  <r>
    <x v="244"/>
    <s v="Spiritomb"/>
    <x v="8"/>
    <x v="11"/>
    <x v="44"/>
    <n v="50"/>
    <n v="92"/>
    <n v="108"/>
    <n v="92"/>
    <n v="108"/>
    <n v="35"/>
    <x v="3"/>
    <x v="0"/>
  </r>
  <r>
    <x v="245"/>
    <s v="Gible"/>
    <x v="12"/>
    <x v="3"/>
    <x v="27"/>
    <n v="58"/>
    <n v="70"/>
    <n v="45"/>
    <n v="40"/>
    <n v="45"/>
    <n v="42"/>
    <x v="3"/>
    <x v="0"/>
  </r>
  <r>
    <x v="246"/>
    <s v="Gabite"/>
    <x v="12"/>
    <x v="3"/>
    <x v="61"/>
    <n v="68"/>
    <n v="90"/>
    <n v="65"/>
    <n v="50"/>
    <n v="55"/>
    <n v="82"/>
    <x v="3"/>
    <x v="0"/>
  </r>
  <r>
    <x v="247"/>
    <s v="Garchomp"/>
    <x v="12"/>
    <x v="3"/>
    <x v="40"/>
    <n v="108"/>
    <n v="130"/>
    <n v="95"/>
    <n v="80"/>
    <n v="85"/>
    <n v="102"/>
    <x v="3"/>
    <x v="0"/>
  </r>
  <r>
    <x v="248"/>
    <s v="GarchompMega Garchomp"/>
    <x v="12"/>
    <x v="3"/>
    <x v="63"/>
    <n v="108"/>
    <n v="170"/>
    <n v="115"/>
    <n v="120"/>
    <n v="95"/>
    <n v="92"/>
    <x v="3"/>
    <x v="0"/>
  </r>
  <r>
    <x v="249"/>
    <s v="Lucario"/>
    <x v="16"/>
    <x v="8"/>
    <x v="2"/>
    <n v="70"/>
    <n v="110"/>
    <n v="70"/>
    <n v="115"/>
    <n v="70"/>
    <n v="90"/>
    <x v="3"/>
    <x v="0"/>
  </r>
  <r>
    <x v="250"/>
    <s v="LucarioMega Lucario"/>
    <x v="16"/>
    <x v="8"/>
    <x v="3"/>
    <n v="70"/>
    <n v="145"/>
    <n v="88"/>
    <n v="140"/>
    <n v="70"/>
    <n v="112"/>
    <x v="3"/>
    <x v="0"/>
  </r>
  <r>
    <x v="251"/>
    <s v="Skorupi"/>
    <x v="4"/>
    <x v="16"/>
    <x v="54"/>
    <n v="40"/>
    <n v="50"/>
    <n v="90"/>
    <n v="30"/>
    <n v="55"/>
    <n v="65"/>
    <x v="3"/>
    <x v="0"/>
  </r>
  <r>
    <x v="252"/>
    <s v="Drapion"/>
    <x v="4"/>
    <x v="11"/>
    <x v="39"/>
    <n v="70"/>
    <n v="90"/>
    <n v="110"/>
    <n v="60"/>
    <n v="75"/>
    <n v="95"/>
    <x v="3"/>
    <x v="0"/>
  </r>
  <r>
    <x v="253"/>
    <s v="Croagunk"/>
    <x v="4"/>
    <x v="6"/>
    <x v="27"/>
    <n v="48"/>
    <n v="61"/>
    <n v="40"/>
    <n v="61"/>
    <n v="40"/>
    <n v="50"/>
    <x v="3"/>
    <x v="0"/>
  </r>
  <r>
    <x v="254"/>
    <s v="Toxicroak"/>
    <x v="4"/>
    <x v="6"/>
    <x v="22"/>
    <n v="83"/>
    <n v="106"/>
    <n v="65"/>
    <n v="86"/>
    <n v="65"/>
    <n v="85"/>
    <x v="3"/>
    <x v="0"/>
  </r>
  <r>
    <x v="255"/>
    <s v="Mantyke"/>
    <x v="5"/>
    <x v="1"/>
    <x v="43"/>
    <n v="45"/>
    <n v="20"/>
    <n v="50"/>
    <n v="60"/>
    <n v="120"/>
    <n v="50"/>
    <x v="3"/>
    <x v="0"/>
  </r>
  <r>
    <x v="256"/>
    <s v="Snover"/>
    <x v="0"/>
    <x v="9"/>
    <x v="96"/>
    <n v="60"/>
    <n v="62"/>
    <n v="50"/>
    <n v="62"/>
    <n v="60"/>
    <n v="40"/>
    <x v="3"/>
    <x v="0"/>
  </r>
  <r>
    <x v="257"/>
    <s v="Abomasnow"/>
    <x v="0"/>
    <x v="9"/>
    <x v="97"/>
    <n v="90"/>
    <n v="92"/>
    <n v="75"/>
    <n v="92"/>
    <n v="85"/>
    <n v="60"/>
    <x v="3"/>
    <x v="0"/>
  </r>
  <r>
    <x v="258"/>
    <s v="AbomasnowMega Abomasnow"/>
    <x v="0"/>
    <x v="9"/>
    <x v="98"/>
    <n v="90"/>
    <n v="132"/>
    <n v="105"/>
    <n v="132"/>
    <n v="105"/>
    <n v="30"/>
    <x v="3"/>
    <x v="0"/>
  </r>
  <r>
    <x v="259"/>
    <s v="Weavile"/>
    <x v="14"/>
    <x v="9"/>
    <x v="26"/>
    <n v="70"/>
    <n v="120"/>
    <n v="65"/>
    <n v="45"/>
    <n v="85"/>
    <n v="125"/>
    <x v="3"/>
    <x v="0"/>
  </r>
  <r>
    <x v="260"/>
    <s v="Magnezone"/>
    <x v="7"/>
    <x v="8"/>
    <x v="47"/>
    <n v="70"/>
    <n v="70"/>
    <n v="115"/>
    <n v="130"/>
    <n v="90"/>
    <n v="60"/>
    <x v="3"/>
    <x v="0"/>
  </r>
  <r>
    <x v="261"/>
    <s v="Rhyperior"/>
    <x v="9"/>
    <x v="10"/>
    <x v="47"/>
    <n v="115"/>
    <n v="140"/>
    <n v="130"/>
    <n v="55"/>
    <n v="55"/>
    <n v="40"/>
    <x v="3"/>
    <x v="0"/>
  </r>
  <r>
    <x v="262"/>
    <s v="Togekiss"/>
    <x v="13"/>
    <x v="1"/>
    <x v="99"/>
    <n v="85"/>
    <n v="50"/>
    <n v="95"/>
    <n v="120"/>
    <n v="115"/>
    <n v="80"/>
    <x v="3"/>
    <x v="0"/>
  </r>
  <r>
    <x v="263"/>
    <s v="Yanmega"/>
    <x v="2"/>
    <x v="1"/>
    <x v="30"/>
    <n v="86"/>
    <n v="76"/>
    <n v="86"/>
    <n v="116"/>
    <n v="56"/>
    <n v="95"/>
    <x v="3"/>
    <x v="0"/>
  </r>
  <r>
    <x v="264"/>
    <s v="Gliscor"/>
    <x v="9"/>
    <x v="1"/>
    <x v="26"/>
    <n v="75"/>
    <n v="95"/>
    <n v="125"/>
    <n v="45"/>
    <n v="75"/>
    <n v="95"/>
    <x v="3"/>
    <x v="0"/>
  </r>
  <r>
    <x v="265"/>
    <s v="Mamoswine"/>
    <x v="11"/>
    <x v="3"/>
    <x v="66"/>
    <n v="110"/>
    <n v="130"/>
    <n v="80"/>
    <n v="70"/>
    <n v="60"/>
    <n v="80"/>
    <x v="3"/>
    <x v="0"/>
  </r>
  <r>
    <x v="266"/>
    <s v="Gallade"/>
    <x v="10"/>
    <x v="6"/>
    <x v="72"/>
    <n v="68"/>
    <n v="125"/>
    <n v="65"/>
    <n v="65"/>
    <n v="115"/>
    <n v="80"/>
    <x v="3"/>
    <x v="0"/>
  </r>
  <r>
    <x v="267"/>
    <s v="GalladeMega Gallade"/>
    <x v="10"/>
    <x v="6"/>
    <x v="73"/>
    <n v="68"/>
    <n v="165"/>
    <n v="95"/>
    <n v="65"/>
    <n v="115"/>
    <n v="110"/>
    <x v="3"/>
    <x v="0"/>
  </r>
  <r>
    <x v="268"/>
    <s v="Probopass"/>
    <x v="6"/>
    <x v="8"/>
    <x v="2"/>
    <n v="60"/>
    <n v="55"/>
    <n v="145"/>
    <n v="75"/>
    <n v="150"/>
    <n v="40"/>
    <x v="3"/>
    <x v="0"/>
  </r>
  <r>
    <x v="269"/>
    <s v="Froslass"/>
    <x v="11"/>
    <x v="15"/>
    <x v="69"/>
    <n v="70"/>
    <n v="80"/>
    <n v="70"/>
    <n v="80"/>
    <n v="70"/>
    <n v="110"/>
    <x v="3"/>
    <x v="0"/>
  </r>
  <r>
    <x v="270"/>
    <s v="Rotom"/>
    <x v="7"/>
    <x v="15"/>
    <x v="83"/>
    <n v="50"/>
    <n v="50"/>
    <n v="77"/>
    <n v="95"/>
    <n v="77"/>
    <n v="91"/>
    <x v="3"/>
    <x v="0"/>
  </r>
  <r>
    <x v="271"/>
    <s v="RotomHeat Rotom"/>
    <x v="7"/>
    <x v="14"/>
    <x v="42"/>
    <n v="50"/>
    <n v="65"/>
    <n v="107"/>
    <n v="105"/>
    <n v="107"/>
    <n v="86"/>
    <x v="3"/>
    <x v="0"/>
  </r>
  <r>
    <x v="272"/>
    <s v="RotomWash Rotom"/>
    <x v="7"/>
    <x v="12"/>
    <x v="42"/>
    <n v="50"/>
    <n v="65"/>
    <n v="107"/>
    <n v="105"/>
    <n v="107"/>
    <n v="86"/>
    <x v="3"/>
    <x v="0"/>
  </r>
  <r>
    <x v="273"/>
    <s v="RotomFrost Rotom"/>
    <x v="7"/>
    <x v="9"/>
    <x v="42"/>
    <n v="50"/>
    <n v="65"/>
    <n v="107"/>
    <n v="105"/>
    <n v="107"/>
    <n v="86"/>
    <x v="3"/>
    <x v="0"/>
  </r>
  <r>
    <x v="274"/>
    <s v="RotomFan Rotom"/>
    <x v="7"/>
    <x v="1"/>
    <x v="42"/>
    <n v="50"/>
    <n v="65"/>
    <n v="107"/>
    <n v="105"/>
    <n v="107"/>
    <n v="86"/>
    <x v="3"/>
    <x v="0"/>
  </r>
  <r>
    <x v="275"/>
    <s v="RotomMow Rotom"/>
    <x v="7"/>
    <x v="5"/>
    <x v="42"/>
    <n v="50"/>
    <n v="65"/>
    <n v="107"/>
    <n v="105"/>
    <n v="107"/>
    <n v="86"/>
    <x v="3"/>
    <x v="0"/>
  </r>
  <r>
    <x v="276"/>
    <s v="Dialga"/>
    <x v="15"/>
    <x v="2"/>
    <x v="64"/>
    <n v="100"/>
    <n v="120"/>
    <n v="120"/>
    <n v="150"/>
    <n v="100"/>
    <n v="90"/>
    <x v="3"/>
    <x v="1"/>
  </r>
  <r>
    <x v="277"/>
    <s v="Palkia"/>
    <x v="5"/>
    <x v="2"/>
    <x v="64"/>
    <n v="90"/>
    <n v="120"/>
    <n v="100"/>
    <n v="150"/>
    <n v="120"/>
    <n v="100"/>
    <x v="3"/>
    <x v="1"/>
  </r>
  <r>
    <x v="278"/>
    <s v="Heatran"/>
    <x v="1"/>
    <x v="8"/>
    <x v="40"/>
    <n v="91"/>
    <n v="90"/>
    <n v="106"/>
    <n v="130"/>
    <n v="106"/>
    <n v="77"/>
    <x v="3"/>
    <x v="1"/>
  </r>
  <r>
    <x v="279"/>
    <s v="GiratinaAltered Forme"/>
    <x v="8"/>
    <x v="2"/>
    <x v="64"/>
    <n v="150"/>
    <n v="100"/>
    <n v="120"/>
    <n v="100"/>
    <n v="120"/>
    <n v="90"/>
    <x v="3"/>
    <x v="1"/>
  </r>
  <r>
    <x v="280"/>
    <s v="GiratinaOrigin Forme"/>
    <x v="8"/>
    <x v="2"/>
    <x v="64"/>
    <n v="150"/>
    <n v="120"/>
    <n v="100"/>
    <n v="120"/>
    <n v="100"/>
    <n v="90"/>
    <x v="3"/>
    <x v="1"/>
  </r>
  <r>
    <x v="281"/>
    <s v="ShayminSky Forme"/>
    <x v="0"/>
    <x v="1"/>
    <x v="40"/>
    <n v="100"/>
    <n v="103"/>
    <n v="75"/>
    <n v="120"/>
    <n v="75"/>
    <n v="127"/>
    <x v="3"/>
    <x v="1"/>
  </r>
  <r>
    <x v="282"/>
    <s v="Victini"/>
    <x v="10"/>
    <x v="14"/>
    <x v="40"/>
    <n v="100"/>
    <n v="100"/>
    <n v="100"/>
    <n v="100"/>
    <n v="100"/>
    <n v="100"/>
    <x v="4"/>
    <x v="1"/>
  </r>
  <r>
    <x v="283"/>
    <s v="Pignite"/>
    <x v="1"/>
    <x v="6"/>
    <x v="100"/>
    <n v="90"/>
    <n v="93"/>
    <n v="55"/>
    <n v="70"/>
    <n v="55"/>
    <n v="55"/>
    <x v="4"/>
    <x v="0"/>
  </r>
  <r>
    <x v="284"/>
    <s v="Emboar"/>
    <x v="1"/>
    <x v="6"/>
    <x v="101"/>
    <n v="110"/>
    <n v="123"/>
    <n v="65"/>
    <n v="100"/>
    <n v="65"/>
    <n v="65"/>
    <x v="4"/>
    <x v="0"/>
  </r>
  <r>
    <x v="285"/>
    <s v="Pidove"/>
    <x v="3"/>
    <x v="1"/>
    <x v="102"/>
    <n v="50"/>
    <n v="55"/>
    <n v="50"/>
    <n v="36"/>
    <n v="30"/>
    <n v="43"/>
    <x v="4"/>
    <x v="0"/>
  </r>
  <r>
    <x v="286"/>
    <s v="Tranquill"/>
    <x v="3"/>
    <x v="1"/>
    <x v="103"/>
    <n v="62"/>
    <n v="77"/>
    <n v="62"/>
    <n v="50"/>
    <n v="42"/>
    <n v="65"/>
    <x v="4"/>
    <x v="0"/>
  </r>
  <r>
    <x v="287"/>
    <s v="Unfezant"/>
    <x v="3"/>
    <x v="1"/>
    <x v="104"/>
    <n v="80"/>
    <n v="115"/>
    <n v="80"/>
    <n v="65"/>
    <n v="55"/>
    <n v="93"/>
    <x v="4"/>
    <x v="0"/>
  </r>
  <r>
    <x v="288"/>
    <s v="Woobat"/>
    <x v="10"/>
    <x v="1"/>
    <x v="105"/>
    <n v="55"/>
    <n v="45"/>
    <n v="43"/>
    <n v="55"/>
    <n v="43"/>
    <n v="72"/>
    <x v="4"/>
    <x v="0"/>
  </r>
  <r>
    <x v="289"/>
    <s v="Swoobat"/>
    <x v="10"/>
    <x v="1"/>
    <x v="106"/>
    <n v="67"/>
    <n v="57"/>
    <n v="55"/>
    <n v="77"/>
    <n v="55"/>
    <n v="114"/>
    <x v="4"/>
    <x v="0"/>
  </r>
  <r>
    <x v="290"/>
    <s v="Excadrill"/>
    <x v="9"/>
    <x v="8"/>
    <x v="107"/>
    <n v="110"/>
    <n v="135"/>
    <n v="60"/>
    <n v="50"/>
    <n v="65"/>
    <n v="88"/>
    <x v="4"/>
    <x v="0"/>
  </r>
  <r>
    <x v="291"/>
    <s v="AudinoMega Audino"/>
    <x v="3"/>
    <x v="4"/>
    <x v="99"/>
    <n v="103"/>
    <n v="60"/>
    <n v="126"/>
    <n v="80"/>
    <n v="126"/>
    <n v="50"/>
    <x v="4"/>
    <x v="0"/>
  </r>
  <r>
    <x v="292"/>
    <s v="Palpitoad"/>
    <x v="5"/>
    <x v="3"/>
    <x v="108"/>
    <n v="75"/>
    <n v="65"/>
    <n v="55"/>
    <n v="65"/>
    <n v="55"/>
    <n v="69"/>
    <x v="4"/>
    <x v="0"/>
  </r>
  <r>
    <x v="293"/>
    <s v="Seismitoad"/>
    <x v="5"/>
    <x v="3"/>
    <x v="109"/>
    <n v="105"/>
    <n v="95"/>
    <n v="75"/>
    <n v="85"/>
    <n v="75"/>
    <n v="74"/>
    <x v="4"/>
    <x v="0"/>
  </r>
  <r>
    <x v="294"/>
    <s v="Sewaddle"/>
    <x v="2"/>
    <x v="5"/>
    <x v="36"/>
    <n v="45"/>
    <n v="53"/>
    <n v="70"/>
    <n v="40"/>
    <n v="60"/>
    <n v="42"/>
    <x v="4"/>
    <x v="0"/>
  </r>
  <r>
    <x v="295"/>
    <s v="Swadloon"/>
    <x v="2"/>
    <x v="5"/>
    <x v="62"/>
    <n v="55"/>
    <n v="63"/>
    <n v="90"/>
    <n v="50"/>
    <n v="80"/>
    <n v="42"/>
    <x v="4"/>
    <x v="0"/>
  </r>
  <r>
    <x v="296"/>
    <s v="Leavanny"/>
    <x v="2"/>
    <x v="5"/>
    <x v="39"/>
    <n v="75"/>
    <n v="103"/>
    <n v="80"/>
    <n v="70"/>
    <n v="80"/>
    <n v="92"/>
    <x v="4"/>
    <x v="0"/>
  </r>
  <r>
    <x v="297"/>
    <s v="Venipede"/>
    <x v="2"/>
    <x v="0"/>
    <x v="110"/>
    <n v="30"/>
    <n v="45"/>
    <n v="59"/>
    <n v="30"/>
    <n v="39"/>
    <n v="57"/>
    <x v="4"/>
    <x v="0"/>
  </r>
  <r>
    <x v="298"/>
    <s v="Whirlipede"/>
    <x v="2"/>
    <x v="0"/>
    <x v="111"/>
    <n v="40"/>
    <n v="55"/>
    <n v="99"/>
    <n v="40"/>
    <n v="79"/>
    <n v="47"/>
    <x v="4"/>
    <x v="0"/>
  </r>
  <r>
    <x v="299"/>
    <s v="Scolipede"/>
    <x v="2"/>
    <x v="0"/>
    <x v="44"/>
    <n v="60"/>
    <n v="100"/>
    <n v="89"/>
    <n v="55"/>
    <n v="69"/>
    <n v="112"/>
    <x v="4"/>
    <x v="0"/>
  </r>
  <r>
    <x v="300"/>
    <s v="Cottonee"/>
    <x v="0"/>
    <x v="4"/>
    <x v="80"/>
    <n v="40"/>
    <n v="27"/>
    <n v="60"/>
    <n v="37"/>
    <n v="50"/>
    <n v="66"/>
    <x v="4"/>
    <x v="0"/>
  </r>
  <r>
    <x v="301"/>
    <s v="Whimsicott"/>
    <x v="0"/>
    <x v="4"/>
    <x v="69"/>
    <n v="60"/>
    <n v="67"/>
    <n v="85"/>
    <n v="77"/>
    <n v="75"/>
    <n v="116"/>
    <x v="4"/>
    <x v="0"/>
  </r>
  <r>
    <x v="302"/>
    <s v="Sandile"/>
    <x v="9"/>
    <x v="11"/>
    <x v="112"/>
    <n v="50"/>
    <n v="72"/>
    <n v="35"/>
    <n v="35"/>
    <n v="35"/>
    <n v="65"/>
    <x v="4"/>
    <x v="0"/>
  </r>
  <r>
    <x v="303"/>
    <s v="Krokorok"/>
    <x v="9"/>
    <x v="11"/>
    <x v="113"/>
    <n v="60"/>
    <n v="82"/>
    <n v="45"/>
    <n v="45"/>
    <n v="45"/>
    <n v="74"/>
    <x v="4"/>
    <x v="0"/>
  </r>
  <r>
    <x v="304"/>
    <s v="Krookodile"/>
    <x v="9"/>
    <x v="11"/>
    <x v="114"/>
    <n v="95"/>
    <n v="117"/>
    <n v="80"/>
    <n v="65"/>
    <n v="70"/>
    <n v="92"/>
    <x v="4"/>
    <x v="0"/>
  </r>
  <r>
    <x v="305"/>
    <s v="DarmanitanZen Mode"/>
    <x v="1"/>
    <x v="7"/>
    <x v="45"/>
    <n v="105"/>
    <n v="30"/>
    <n v="105"/>
    <n v="140"/>
    <n v="105"/>
    <n v="55"/>
    <x v="4"/>
    <x v="0"/>
  </r>
  <r>
    <x v="306"/>
    <s v="Dwebble"/>
    <x v="2"/>
    <x v="10"/>
    <x v="33"/>
    <n v="50"/>
    <n v="65"/>
    <n v="85"/>
    <n v="35"/>
    <n v="35"/>
    <n v="55"/>
    <x v="4"/>
    <x v="0"/>
  </r>
  <r>
    <x v="307"/>
    <s v="Crustle"/>
    <x v="2"/>
    <x v="10"/>
    <x v="38"/>
    <n v="70"/>
    <n v="95"/>
    <n v="125"/>
    <n v="65"/>
    <n v="75"/>
    <n v="45"/>
    <x v="4"/>
    <x v="0"/>
  </r>
  <r>
    <x v="308"/>
    <s v="Scraggy"/>
    <x v="14"/>
    <x v="6"/>
    <x v="92"/>
    <n v="50"/>
    <n v="75"/>
    <n v="70"/>
    <n v="35"/>
    <n v="70"/>
    <n v="48"/>
    <x v="4"/>
    <x v="0"/>
  </r>
  <r>
    <x v="309"/>
    <s v="Scrafty"/>
    <x v="14"/>
    <x v="6"/>
    <x v="104"/>
    <n v="65"/>
    <n v="90"/>
    <n v="115"/>
    <n v="45"/>
    <n v="115"/>
    <n v="58"/>
    <x v="4"/>
    <x v="0"/>
  </r>
  <r>
    <x v="310"/>
    <s v="Sigilyph"/>
    <x v="10"/>
    <x v="1"/>
    <x v="22"/>
    <n v="72"/>
    <n v="58"/>
    <n v="80"/>
    <n v="103"/>
    <n v="80"/>
    <n v="97"/>
    <x v="4"/>
    <x v="0"/>
  </r>
  <r>
    <x v="311"/>
    <s v="Tirtouga"/>
    <x v="5"/>
    <x v="10"/>
    <x v="48"/>
    <n v="54"/>
    <n v="78"/>
    <n v="103"/>
    <n v="53"/>
    <n v="45"/>
    <n v="22"/>
    <x v="4"/>
    <x v="0"/>
  </r>
  <r>
    <x v="312"/>
    <s v="Carracosta"/>
    <x v="5"/>
    <x v="10"/>
    <x v="9"/>
    <n v="74"/>
    <n v="108"/>
    <n v="133"/>
    <n v="83"/>
    <n v="65"/>
    <n v="32"/>
    <x v="4"/>
    <x v="0"/>
  </r>
  <r>
    <x v="313"/>
    <s v="Archen"/>
    <x v="6"/>
    <x v="1"/>
    <x v="115"/>
    <n v="55"/>
    <n v="112"/>
    <n v="45"/>
    <n v="74"/>
    <n v="45"/>
    <n v="70"/>
    <x v="4"/>
    <x v="0"/>
  </r>
  <r>
    <x v="314"/>
    <s v="Archeops"/>
    <x v="6"/>
    <x v="1"/>
    <x v="116"/>
    <n v="75"/>
    <n v="140"/>
    <n v="65"/>
    <n v="112"/>
    <n v="65"/>
    <n v="110"/>
    <x v="4"/>
    <x v="0"/>
  </r>
  <r>
    <x v="315"/>
    <s v="Ducklett"/>
    <x v="5"/>
    <x v="1"/>
    <x v="24"/>
    <n v="62"/>
    <n v="44"/>
    <n v="50"/>
    <n v="44"/>
    <n v="50"/>
    <n v="55"/>
    <x v="4"/>
    <x v="0"/>
  </r>
  <r>
    <x v="316"/>
    <s v="Swanna"/>
    <x v="5"/>
    <x v="1"/>
    <x v="117"/>
    <n v="75"/>
    <n v="87"/>
    <n v="63"/>
    <n v="87"/>
    <n v="63"/>
    <n v="98"/>
    <x v="4"/>
    <x v="0"/>
  </r>
  <r>
    <x v="317"/>
    <s v="Deerling"/>
    <x v="3"/>
    <x v="5"/>
    <x v="29"/>
    <n v="60"/>
    <n v="60"/>
    <n v="50"/>
    <n v="40"/>
    <n v="50"/>
    <n v="75"/>
    <x v="4"/>
    <x v="0"/>
  </r>
  <r>
    <x v="318"/>
    <s v="Sawsbuck"/>
    <x v="3"/>
    <x v="5"/>
    <x v="38"/>
    <n v="80"/>
    <n v="100"/>
    <n v="70"/>
    <n v="60"/>
    <n v="70"/>
    <n v="95"/>
    <x v="4"/>
    <x v="0"/>
  </r>
  <r>
    <x v="319"/>
    <s v="Emolga"/>
    <x v="7"/>
    <x v="1"/>
    <x v="118"/>
    <n v="55"/>
    <n v="75"/>
    <n v="60"/>
    <n v="75"/>
    <n v="60"/>
    <n v="103"/>
    <x v="4"/>
    <x v="0"/>
  </r>
  <r>
    <x v="320"/>
    <s v="Escavalier"/>
    <x v="2"/>
    <x v="8"/>
    <x v="9"/>
    <n v="70"/>
    <n v="135"/>
    <n v="105"/>
    <n v="60"/>
    <n v="105"/>
    <n v="20"/>
    <x v="4"/>
    <x v="0"/>
  </r>
  <r>
    <x v="321"/>
    <s v="Foongus"/>
    <x v="0"/>
    <x v="0"/>
    <x v="119"/>
    <n v="69"/>
    <n v="55"/>
    <n v="45"/>
    <n v="55"/>
    <n v="55"/>
    <n v="15"/>
    <x v="4"/>
    <x v="0"/>
  </r>
  <r>
    <x v="322"/>
    <s v="Amoonguss"/>
    <x v="0"/>
    <x v="0"/>
    <x v="120"/>
    <n v="114"/>
    <n v="85"/>
    <n v="70"/>
    <n v="85"/>
    <n v="80"/>
    <n v="30"/>
    <x v="4"/>
    <x v="0"/>
  </r>
  <r>
    <x v="323"/>
    <s v="Frillish"/>
    <x v="5"/>
    <x v="15"/>
    <x v="29"/>
    <n v="55"/>
    <n v="40"/>
    <n v="50"/>
    <n v="65"/>
    <n v="85"/>
    <n v="40"/>
    <x v="4"/>
    <x v="0"/>
  </r>
  <r>
    <x v="324"/>
    <s v="Jellicent"/>
    <x v="5"/>
    <x v="15"/>
    <x v="69"/>
    <n v="100"/>
    <n v="60"/>
    <n v="70"/>
    <n v="85"/>
    <n v="105"/>
    <n v="60"/>
    <x v="4"/>
    <x v="0"/>
  </r>
  <r>
    <x v="325"/>
    <s v="Joltik"/>
    <x v="2"/>
    <x v="13"/>
    <x v="121"/>
    <n v="50"/>
    <n v="47"/>
    <n v="50"/>
    <n v="57"/>
    <n v="50"/>
    <n v="65"/>
    <x v="4"/>
    <x v="0"/>
  </r>
  <r>
    <x v="326"/>
    <s v="Galvantula"/>
    <x v="2"/>
    <x v="13"/>
    <x v="122"/>
    <n v="70"/>
    <n v="77"/>
    <n v="60"/>
    <n v="97"/>
    <n v="60"/>
    <n v="108"/>
    <x v="4"/>
    <x v="0"/>
  </r>
  <r>
    <x v="327"/>
    <s v="Ferroseed"/>
    <x v="0"/>
    <x v="8"/>
    <x v="24"/>
    <n v="44"/>
    <n v="50"/>
    <n v="91"/>
    <n v="24"/>
    <n v="86"/>
    <n v="10"/>
    <x v="4"/>
    <x v="0"/>
  </r>
  <r>
    <x v="328"/>
    <s v="Ferrothorn"/>
    <x v="0"/>
    <x v="8"/>
    <x v="123"/>
    <n v="74"/>
    <n v="94"/>
    <n v="131"/>
    <n v="54"/>
    <n v="116"/>
    <n v="20"/>
    <x v="4"/>
    <x v="0"/>
  </r>
  <r>
    <x v="329"/>
    <s v="Litwick"/>
    <x v="8"/>
    <x v="14"/>
    <x v="124"/>
    <n v="50"/>
    <n v="30"/>
    <n v="55"/>
    <n v="65"/>
    <n v="55"/>
    <n v="20"/>
    <x v="4"/>
    <x v="0"/>
  </r>
  <r>
    <x v="330"/>
    <s v="Lampent"/>
    <x v="8"/>
    <x v="14"/>
    <x v="125"/>
    <n v="60"/>
    <n v="40"/>
    <n v="60"/>
    <n v="95"/>
    <n v="60"/>
    <n v="55"/>
    <x v="4"/>
    <x v="0"/>
  </r>
  <r>
    <x v="331"/>
    <s v="Chandelure"/>
    <x v="8"/>
    <x v="14"/>
    <x v="42"/>
    <n v="60"/>
    <n v="55"/>
    <n v="90"/>
    <n v="145"/>
    <n v="90"/>
    <n v="80"/>
    <x v="4"/>
    <x v="0"/>
  </r>
  <r>
    <x v="332"/>
    <s v="Stunfisk"/>
    <x v="9"/>
    <x v="13"/>
    <x v="126"/>
    <n v="109"/>
    <n v="66"/>
    <n v="84"/>
    <n v="81"/>
    <n v="99"/>
    <n v="32"/>
    <x v="4"/>
    <x v="0"/>
  </r>
  <r>
    <x v="333"/>
    <s v="Golett"/>
    <x v="9"/>
    <x v="15"/>
    <x v="127"/>
    <n v="59"/>
    <n v="74"/>
    <n v="50"/>
    <n v="35"/>
    <n v="50"/>
    <n v="35"/>
    <x v="4"/>
    <x v="0"/>
  </r>
  <r>
    <x v="334"/>
    <s v="Golurk"/>
    <x v="9"/>
    <x v="15"/>
    <x v="128"/>
    <n v="89"/>
    <n v="124"/>
    <n v="80"/>
    <n v="55"/>
    <n v="80"/>
    <n v="55"/>
    <x v="4"/>
    <x v="0"/>
  </r>
  <r>
    <x v="335"/>
    <s v="Pawniard"/>
    <x v="14"/>
    <x v="8"/>
    <x v="59"/>
    <n v="45"/>
    <n v="85"/>
    <n v="70"/>
    <n v="40"/>
    <n v="40"/>
    <n v="60"/>
    <x v="4"/>
    <x v="0"/>
  </r>
  <r>
    <x v="336"/>
    <s v="Bisharp"/>
    <x v="14"/>
    <x v="8"/>
    <x v="22"/>
    <n v="65"/>
    <n v="125"/>
    <n v="100"/>
    <n v="60"/>
    <n v="70"/>
    <n v="70"/>
    <x v="4"/>
    <x v="0"/>
  </r>
  <r>
    <x v="337"/>
    <s v="Rufflet"/>
    <x v="3"/>
    <x v="1"/>
    <x v="88"/>
    <n v="70"/>
    <n v="83"/>
    <n v="50"/>
    <n v="37"/>
    <n v="50"/>
    <n v="60"/>
    <x v="4"/>
    <x v="0"/>
  </r>
  <r>
    <x v="338"/>
    <s v="Braviary"/>
    <x v="3"/>
    <x v="1"/>
    <x v="26"/>
    <n v="100"/>
    <n v="123"/>
    <n v="75"/>
    <n v="57"/>
    <n v="75"/>
    <n v="80"/>
    <x v="4"/>
    <x v="0"/>
  </r>
  <r>
    <x v="339"/>
    <s v="Vullaby"/>
    <x v="14"/>
    <x v="1"/>
    <x v="125"/>
    <n v="70"/>
    <n v="55"/>
    <n v="75"/>
    <n v="45"/>
    <n v="65"/>
    <n v="60"/>
    <x v="4"/>
    <x v="0"/>
  </r>
  <r>
    <x v="340"/>
    <s v="Mandibuzz"/>
    <x v="14"/>
    <x v="1"/>
    <x v="26"/>
    <n v="110"/>
    <n v="65"/>
    <n v="105"/>
    <n v="55"/>
    <n v="95"/>
    <n v="80"/>
    <x v="4"/>
    <x v="0"/>
  </r>
  <r>
    <x v="341"/>
    <s v="Durant"/>
    <x v="2"/>
    <x v="8"/>
    <x v="129"/>
    <n v="58"/>
    <n v="109"/>
    <n v="112"/>
    <n v="48"/>
    <n v="48"/>
    <n v="109"/>
    <x v="4"/>
    <x v="0"/>
  </r>
  <r>
    <x v="342"/>
    <s v="Deino"/>
    <x v="14"/>
    <x v="2"/>
    <x v="27"/>
    <n v="52"/>
    <n v="65"/>
    <n v="50"/>
    <n v="45"/>
    <n v="50"/>
    <n v="38"/>
    <x v="4"/>
    <x v="0"/>
  </r>
  <r>
    <x v="343"/>
    <s v="Zweilous"/>
    <x v="14"/>
    <x v="2"/>
    <x v="58"/>
    <n v="72"/>
    <n v="85"/>
    <n v="70"/>
    <n v="65"/>
    <n v="70"/>
    <n v="58"/>
    <x v="4"/>
    <x v="0"/>
  </r>
  <r>
    <x v="344"/>
    <s v="Hydreigon"/>
    <x v="14"/>
    <x v="2"/>
    <x v="40"/>
    <n v="92"/>
    <n v="105"/>
    <n v="90"/>
    <n v="125"/>
    <n v="90"/>
    <n v="98"/>
    <x v="4"/>
    <x v="0"/>
  </r>
  <r>
    <x v="345"/>
    <s v="Larvesta"/>
    <x v="2"/>
    <x v="14"/>
    <x v="111"/>
    <n v="55"/>
    <n v="85"/>
    <n v="55"/>
    <n v="50"/>
    <n v="55"/>
    <n v="60"/>
    <x v="4"/>
    <x v="0"/>
  </r>
  <r>
    <x v="346"/>
    <s v="Volcarona"/>
    <x v="2"/>
    <x v="14"/>
    <x v="130"/>
    <n v="85"/>
    <n v="60"/>
    <n v="65"/>
    <n v="135"/>
    <n v="105"/>
    <n v="100"/>
    <x v="4"/>
    <x v="0"/>
  </r>
  <r>
    <x v="347"/>
    <s v="Cobalion"/>
    <x v="15"/>
    <x v="6"/>
    <x v="50"/>
    <n v="91"/>
    <n v="90"/>
    <n v="129"/>
    <n v="90"/>
    <n v="72"/>
    <n v="108"/>
    <x v="4"/>
    <x v="1"/>
  </r>
  <r>
    <x v="348"/>
    <s v="Terrakion"/>
    <x v="6"/>
    <x v="6"/>
    <x v="50"/>
    <n v="91"/>
    <n v="129"/>
    <n v="90"/>
    <n v="72"/>
    <n v="90"/>
    <n v="108"/>
    <x v="4"/>
    <x v="1"/>
  </r>
  <r>
    <x v="349"/>
    <s v="Virizion"/>
    <x v="0"/>
    <x v="6"/>
    <x v="50"/>
    <n v="91"/>
    <n v="90"/>
    <n v="72"/>
    <n v="90"/>
    <n v="129"/>
    <n v="108"/>
    <x v="4"/>
    <x v="1"/>
  </r>
  <r>
    <x v="350"/>
    <s v="ThundurusIncarnate Forme"/>
    <x v="7"/>
    <x v="1"/>
    <x v="50"/>
    <n v="79"/>
    <n v="115"/>
    <n v="70"/>
    <n v="125"/>
    <n v="80"/>
    <n v="111"/>
    <x v="4"/>
    <x v="1"/>
  </r>
  <r>
    <x v="351"/>
    <s v="ThundurusTherian Forme"/>
    <x v="7"/>
    <x v="1"/>
    <x v="50"/>
    <n v="79"/>
    <n v="105"/>
    <n v="70"/>
    <n v="145"/>
    <n v="80"/>
    <n v="101"/>
    <x v="4"/>
    <x v="1"/>
  </r>
  <r>
    <x v="352"/>
    <s v="Reshiram"/>
    <x v="12"/>
    <x v="14"/>
    <x v="64"/>
    <n v="100"/>
    <n v="120"/>
    <n v="100"/>
    <n v="150"/>
    <n v="120"/>
    <n v="90"/>
    <x v="4"/>
    <x v="1"/>
  </r>
  <r>
    <x v="353"/>
    <s v="Zekrom"/>
    <x v="12"/>
    <x v="13"/>
    <x v="64"/>
    <n v="100"/>
    <n v="150"/>
    <n v="120"/>
    <n v="120"/>
    <n v="100"/>
    <n v="90"/>
    <x v="4"/>
    <x v="1"/>
  </r>
  <r>
    <x v="354"/>
    <s v="LandorusIncarnate Forme"/>
    <x v="9"/>
    <x v="1"/>
    <x v="40"/>
    <n v="89"/>
    <n v="125"/>
    <n v="90"/>
    <n v="115"/>
    <n v="80"/>
    <n v="101"/>
    <x v="4"/>
    <x v="1"/>
  </r>
  <r>
    <x v="355"/>
    <s v="LandorusTherian Forme"/>
    <x v="9"/>
    <x v="1"/>
    <x v="40"/>
    <n v="89"/>
    <n v="145"/>
    <n v="90"/>
    <n v="105"/>
    <n v="80"/>
    <n v="91"/>
    <x v="4"/>
    <x v="1"/>
  </r>
  <r>
    <x v="356"/>
    <s v="Kyurem"/>
    <x v="12"/>
    <x v="9"/>
    <x v="131"/>
    <n v="125"/>
    <n v="130"/>
    <n v="90"/>
    <n v="130"/>
    <n v="90"/>
    <n v="95"/>
    <x v="4"/>
    <x v="1"/>
  </r>
  <r>
    <x v="357"/>
    <s v="KyuremBlack Kyurem"/>
    <x v="12"/>
    <x v="9"/>
    <x v="63"/>
    <n v="125"/>
    <n v="170"/>
    <n v="100"/>
    <n v="120"/>
    <n v="90"/>
    <n v="95"/>
    <x v="4"/>
    <x v="1"/>
  </r>
  <r>
    <x v="358"/>
    <s v="KyuremWhite Kyurem"/>
    <x v="12"/>
    <x v="9"/>
    <x v="63"/>
    <n v="125"/>
    <n v="120"/>
    <n v="90"/>
    <n v="170"/>
    <n v="100"/>
    <n v="95"/>
    <x v="4"/>
    <x v="1"/>
  </r>
  <r>
    <x v="359"/>
    <s v="KeldeoOrdinary Forme"/>
    <x v="5"/>
    <x v="6"/>
    <x v="50"/>
    <n v="91"/>
    <n v="72"/>
    <n v="90"/>
    <n v="129"/>
    <n v="90"/>
    <n v="108"/>
    <x v="4"/>
    <x v="0"/>
  </r>
  <r>
    <x v="360"/>
    <s v="KeldeoResolute Forme"/>
    <x v="5"/>
    <x v="6"/>
    <x v="50"/>
    <n v="91"/>
    <n v="72"/>
    <n v="90"/>
    <n v="129"/>
    <n v="90"/>
    <n v="108"/>
    <x v="4"/>
    <x v="0"/>
  </r>
  <r>
    <x v="361"/>
    <s v="MeloettaAria Forme"/>
    <x v="3"/>
    <x v="7"/>
    <x v="40"/>
    <n v="100"/>
    <n v="77"/>
    <n v="77"/>
    <n v="128"/>
    <n v="128"/>
    <n v="90"/>
    <x v="4"/>
    <x v="0"/>
  </r>
  <r>
    <x v="362"/>
    <s v="MeloettaPirouette Forme"/>
    <x v="3"/>
    <x v="6"/>
    <x v="40"/>
    <n v="100"/>
    <n v="128"/>
    <n v="90"/>
    <n v="77"/>
    <n v="77"/>
    <n v="128"/>
    <x v="4"/>
    <x v="0"/>
  </r>
  <r>
    <x v="363"/>
    <s v="Genesect"/>
    <x v="2"/>
    <x v="8"/>
    <x v="40"/>
    <n v="71"/>
    <n v="120"/>
    <n v="95"/>
    <n v="120"/>
    <n v="95"/>
    <n v="99"/>
    <x v="4"/>
    <x v="0"/>
  </r>
  <r>
    <x v="364"/>
    <s v="Chesnaught"/>
    <x v="0"/>
    <x v="6"/>
    <x v="66"/>
    <n v="88"/>
    <n v="107"/>
    <n v="122"/>
    <n v="74"/>
    <n v="75"/>
    <n v="64"/>
    <x v="5"/>
    <x v="0"/>
  </r>
  <r>
    <x v="365"/>
    <s v="Delphox"/>
    <x v="1"/>
    <x v="7"/>
    <x v="4"/>
    <n v="75"/>
    <n v="69"/>
    <n v="72"/>
    <n v="114"/>
    <n v="100"/>
    <n v="104"/>
    <x v="5"/>
    <x v="0"/>
  </r>
  <r>
    <x v="366"/>
    <s v="Greninja"/>
    <x v="5"/>
    <x v="11"/>
    <x v="66"/>
    <n v="72"/>
    <n v="95"/>
    <n v="67"/>
    <n v="103"/>
    <n v="71"/>
    <n v="122"/>
    <x v="5"/>
    <x v="0"/>
  </r>
  <r>
    <x v="367"/>
    <s v="Diggersby"/>
    <x v="3"/>
    <x v="3"/>
    <x v="132"/>
    <n v="85"/>
    <n v="56"/>
    <n v="77"/>
    <n v="50"/>
    <n v="77"/>
    <n v="78"/>
    <x v="5"/>
    <x v="0"/>
  </r>
  <r>
    <x v="368"/>
    <s v="Fletchling"/>
    <x v="3"/>
    <x v="1"/>
    <x v="71"/>
    <n v="45"/>
    <n v="50"/>
    <n v="43"/>
    <n v="40"/>
    <n v="38"/>
    <n v="62"/>
    <x v="5"/>
    <x v="0"/>
  </r>
  <r>
    <x v="369"/>
    <s v="Fletchinder"/>
    <x v="1"/>
    <x v="1"/>
    <x v="133"/>
    <n v="62"/>
    <n v="73"/>
    <n v="55"/>
    <n v="56"/>
    <n v="52"/>
    <n v="84"/>
    <x v="5"/>
    <x v="0"/>
  </r>
  <r>
    <x v="370"/>
    <s v="Talonflame"/>
    <x v="1"/>
    <x v="1"/>
    <x v="134"/>
    <n v="78"/>
    <n v="81"/>
    <n v="71"/>
    <n v="74"/>
    <n v="69"/>
    <n v="126"/>
    <x v="5"/>
    <x v="0"/>
  </r>
  <r>
    <x v="371"/>
    <s v="Vivillon"/>
    <x v="2"/>
    <x v="1"/>
    <x v="95"/>
    <n v="80"/>
    <n v="52"/>
    <n v="50"/>
    <n v="90"/>
    <n v="50"/>
    <n v="89"/>
    <x v="5"/>
    <x v="0"/>
  </r>
  <r>
    <x v="372"/>
    <s v="Litleo"/>
    <x v="1"/>
    <x v="17"/>
    <x v="135"/>
    <n v="62"/>
    <n v="50"/>
    <n v="58"/>
    <n v="73"/>
    <n v="54"/>
    <n v="72"/>
    <x v="5"/>
    <x v="0"/>
  </r>
  <r>
    <x v="373"/>
    <s v="Pyroar"/>
    <x v="1"/>
    <x v="17"/>
    <x v="136"/>
    <n v="86"/>
    <n v="68"/>
    <n v="72"/>
    <n v="109"/>
    <n v="66"/>
    <n v="106"/>
    <x v="5"/>
    <x v="0"/>
  </r>
  <r>
    <x v="374"/>
    <s v="Pangoro"/>
    <x v="16"/>
    <x v="11"/>
    <x v="9"/>
    <n v="95"/>
    <n v="124"/>
    <n v="78"/>
    <n v="69"/>
    <n v="71"/>
    <n v="58"/>
    <x v="5"/>
    <x v="0"/>
  </r>
  <r>
    <x v="375"/>
    <s v="Honedge"/>
    <x v="15"/>
    <x v="15"/>
    <x v="33"/>
    <n v="45"/>
    <n v="80"/>
    <n v="100"/>
    <n v="35"/>
    <n v="37"/>
    <n v="28"/>
    <x v="5"/>
    <x v="0"/>
  </r>
  <r>
    <x v="376"/>
    <s v="Doublade"/>
    <x v="15"/>
    <x v="15"/>
    <x v="137"/>
    <n v="59"/>
    <n v="110"/>
    <n v="150"/>
    <n v="45"/>
    <n v="49"/>
    <n v="35"/>
    <x v="5"/>
    <x v="0"/>
  </r>
  <r>
    <x v="377"/>
    <s v="AegislashBlade Forme"/>
    <x v="15"/>
    <x v="15"/>
    <x v="42"/>
    <n v="60"/>
    <n v="150"/>
    <n v="50"/>
    <n v="150"/>
    <n v="50"/>
    <n v="60"/>
    <x v="5"/>
    <x v="0"/>
  </r>
  <r>
    <x v="378"/>
    <s v="AegislashShield Forme"/>
    <x v="15"/>
    <x v="15"/>
    <x v="42"/>
    <n v="60"/>
    <n v="50"/>
    <n v="150"/>
    <n v="50"/>
    <n v="150"/>
    <n v="60"/>
    <x v="5"/>
    <x v="0"/>
  </r>
  <r>
    <x v="379"/>
    <s v="Inkay"/>
    <x v="14"/>
    <x v="7"/>
    <x v="84"/>
    <n v="53"/>
    <n v="54"/>
    <n v="53"/>
    <n v="37"/>
    <n v="46"/>
    <n v="45"/>
    <x v="5"/>
    <x v="0"/>
  </r>
  <r>
    <x v="380"/>
    <s v="Malamar"/>
    <x v="14"/>
    <x v="7"/>
    <x v="138"/>
    <n v="86"/>
    <n v="92"/>
    <n v="88"/>
    <n v="68"/>
    <n v="75"/>
    <n v="73"/>
    <x v="5"/>
    <x v="0"/>
  </r>
  <r>
    <x v="381"/>
    <s v="Binacle"/>
    <x v="6"/>
    <x v="12"/>
    <x v="139"/>
    <n v="42"/>
    <n v="52"/>
    <n v="67"/>
    <n v="39"/>
    <n v="56"/>
    <n v="50"/>
    <x v="5"/>
    <x v="0"/>
  </r>
  <r>
    <x v="382"/>
    <s v="Barbaracle"/>
    <x v="6"/>
    <x v="12"/>
    <x v="39"/>
    <n v="72"/>
    <n v="105"/>
    <n v="115"/>
    <n v="54"/>
    <n v="86"/>
    <n v="68"/>
    <x v="5"/>
    <x v="0"/>
  </r>
  <r>
    <x v="383"/>
    <s v="Skrelp"/>
    <x v="4"/>
    <x v="12"/>
    <x v="21"/>
    <n v="50"/>
    <n v="60"/>
    <n v="60"/>
    <n v="60"/>
    <n v="60"/>
    <n v="30"/>
    <x v="5"/>
    <x v="0"/>
  </r>
  <r>
    <x v="384"/>
    <s v="Dragalge"/>
    <x v="4"/>
    <x v="2"/>
    <x v="97"/>
    <n v="65"/>
    <n v="75"/>
    <n v="90"/>
    <n v="97"/>
    <n v="123"/>
    <n v="44"/>
    <x v="5"/>
    <x v="0"/>
  </r>
  <r>
    <x v="385"/>
    <s v="Helioptile"/>
    <x v="7"/>
    <x v="17"/>
    <x v="140"/>
    <n v="44"/>
    <n v="38"/>
    <n v="33"/>
    <n v="61"/>
    <n v="43"/>
    <n v="70"/>
    <x v="5"/>
    <x v="0"/>
  </r>
  <r>
    <x v="386"/>
    <s v="Heliolisk"/>
    <x v="7"/>
    <x v="17"/>
    <x v="141"/>
    <n v="62"/>
    <n v="55"/>
    <n v="52"/>
    <n v="109"/>
    <n v="94"/>
    <n v="109"/>
    <x v="5"/>
    <x v="0"/>
  </r>
  <r>
    <x v="387"/>
    <s v="Tyrunt"/>
    <x v="6"/>
    <x v="2"/>
    <x v="142"/>
    <n v="58"/>
    <n v="89"/>
    <n v="77"/>
    <n v="45"/>
    <n v="45"/>
    <n v="48"/>
    <x v="5"/>
    <x v="0"/>
  </r>
  <r>
    <x v="388"/>
    <s v="Tyrantrum"/>
    <x v="6"/>
    <x v="2"/>
    <x v="143"/>
    <n v="82"/>
    <n v="121"/>
    <n v="119"/>
    <n v="69"/>
    <n v="59"/>
    <n v="71"/>
    <x v="5"/>
    <x v="0"/>
  </r>
  <r>
    <x v="389"/>
    <s v="Amaura"/>
    <x v="6"/>
    <x v="9"/>
    <x v="142"/>
    <n v="77"/>
    <n v="59"/>
    <n v="50"/>
    <n v="67"/>
    <n v="63"/>
    <n v="46"/>
    <x v="5"/>
    <x v="0"/>
  </r>
  <r>
    <x v="390"/>
    <s v="Aurorus"/>
    <x v="6"/>
    <x v="9"/>
    <x v="143"/>
    <n v="123"/>
    <n v="77"/>
    <n v="72"/>
    <n v="99"/>
    <n v="92"/>
    <n v="58"/>
    <x v="5"/>
    <x v="0"/>
  </r>
  <r>
    <x v="391"/>
    <s v="Hawlucha"/>
    <x v="16"/>
    <x v="1"/>
    <x v="39"/>
    <n v="78"/>
    <n v="92"/>
    <n v="75"/>
    <n v="74"/>
    <n v="63"/>
    <n v="118"/>
    <x v="5"/>
    <x v="0"/>
  </r>
  <r>
    <x v="392"/>
    <s v="Dedenne"/>
    <x v="7"/>
    <x v="4"/>
    <x v="144"/>
    <n v="67"/>
    <n v="58"/>
    <n v="57"/>
    <n v="81"/>
    <n v="67"/>
    <n v="101"/>
    <x v="5"/>
    <x v="0"/>
  </r>
  <r>
    <x v="393"/>
    <s v="Carbink"/>
    <x v="6"/>
    <x v="4"/>
    <x v="39"/>
    <n v="50"/>
    <n v="50"/>
    <n v="150"/>
    <n v="50"/>
    <n v="150"/>
    <n v="50"/>
    <x v="5"/>
    <x v="0"/>
  </r>
  <r>
    <x v="394"/>
    <s v="Klefki"/>
    <x v="15"/>
    <x v="4"/>
    <x v="56"/>
    <n v="57"/>
    <n v="80"/>
    <n v="91"/>
    <n v="80"/>
    <n v="87"/>
    <n v="75"/>
    <x v="5"/>
    <x v="0"/>
  </r>
  <r>
    <x v="395"/>
    <s v="Phantump"/>
    <x v="8"/>
    <x v="5"/>
    <x v="145"/>
    <n v="43"/>
    <n v="70"/>
    <n v="48"/>
    <n v="50"/>
    <n v="60"/>
    <n v="38"/>
    <x v="5"/>
    <x v="0"/>
  </r>
  <r>
    <x v="396"/>
    <s v="Trevenant"/>
    <x v="8"/>
    <x v="5"/>
    <x v="91"/>
    <n v="85"/>
    <n v="110"/>
    <n v="76"/>
    <n v="65"/>
    <n v="82"/>
    <n v="56"/>
    <x v="5"/>
    <x v="0"/>
  </r>
  <r>
    <x v="397"/>
    <s v="PumpkabooAverage Size"/>
    <x v="8"/>
    <x v="5"/>
    <x v="29"/>
    <n v="49"/>
    <n v="66"/>
    <n v="70"/>
    <n v="44"/>
    <n v="55"/>
    <n v="51"/>
    <x v="5"/>
    <x v="0"/>
  </r>
  <r>
    <x v="398"/>
    <s v="PumpkabooSmall Size"/>
    <x v="8"/>
    <x v="5"/>
    <x v="29"/>
    <n v="44"/>
    <n v="66"/>
    <n v="70"/>
    <n v="44"/>
    <n v="55"/>
    <n v="56"/>
    <x v="5"/>
    <x v="0"/>
  </r>
  <r>
    <x v="399"/>
    <s v="PumpkabooLarge Size"/>
    <x v="8"/>
    <x v="5"/>
    <x v="29"/>
    <n v="54"/>
    <n v="66"/>
    <n v="70"/>
    <n v="44"/>
    <n v="55"/>
    <n v="46"/>
    <x v="5"/>
    <x v="0"/>
  </r>
  <r>
    <x v="400"/>
    <s v="PumpkabooSuper Size"/>
    <x v="8"/>
    <x v="5"/>
    <x v="29"/>
    <n v="59"/>
    <n v="66"/>
    <n v="70"/>
    <n v="44"/>
    <n v="55"/>
    <n v="41"/>
    <x v="5"/>
    <x v="0"/>
  </r>
  <r>
    <x v="401"/>
    <s v="GourgeistAverage Size"/>
    <x v="8"/>
    <x v="5"/>
    <x v="97"/>
    <n v="65"/>
    <n v="90"/>
    <n v="122"/>
    <n v="58"/>
    <n v="75"/>
    <n v="84"/>
    <x v="5"/>
    <x v="0"/>
  </r>
  <r>
    <x v="402"/>
    <s v="GourgeistSmall Size"/>
    <x v="8"/>
    <x v="5"/>
    <x v="97"/>
    <n v="55"/>
    <n v="85"/>
    <n v="122"/>
    <n v="58"/>
    <n v="75"/>
    <n v="99"/>
    <x v="5"/>
    <x v="0"/>
  </r>
  <r>
    <x v="403"/>
    <s v="GourgeistLarge Size"/>
    <x v="8"/>
    <x v="5"/>
    <x v="97"/>
    <n v="75"/>
    <n v="95"/>
    <n v="122"/>
    <n v="58"/>
    <n v="75"/>
    <n v="69"/>
    <x v="5"/>
    <x v="0"/>
  </r>
  <r>
    <x v="404"/>
    <s v="GourgeistSuper Size"/>
    <x v="8"/>
    <x v="5"/>
    <x v="97"/>
    <n v="85"/>
    <n v="100"/>
    <n v="122"/>
    <n v="58"/>
    <n v="75"/>
    <n v="54"/>
    <x v="5"/>
    <x v="0"/>
  </r>
  <r>
    <x v="405"/>
    <s v="Noibat"/>
    <x v="17"/>
    <x v="2"/>
    <x v="19"/>
    <n v="40"/>
    <n v="30"/>
    <n v="35"/>
    <n v="45"/>
    <n v="40"/>
    <n v="55"/>
    <x v="5"/>
    <x v="0"/>
  </r>
  <r>
    <x v="406"/>
    <s v="Noivern"/>
    <x v="17"/>
    <x v="2"/>
    <x v="47"/>
    <n v="85"/>
    <n v="70"/>
    <n v="80"/>
    <n v="97"/>
    <n v="80"/>
    <n v="123"/>
    <x v="5"/>
    <x v="0"/>
  </r>
  <r>
    <x v="407"/>
    <s v="Yveltal"/>
    <x v="14"/>
    <x v="1"/>
    <x v="64"/>
    <n v="126"/>
    <n v="131"/>
    <n v="95"/>
    <n v="131"/>
    <n v="98"/>
    <n v="99"/>
    <x v="5"/>
    <x v="1"/>
  </r>
  <r>
    <x v="408"/>
    <s v="Zygarde50% Forme"/>
    <x v="12"/>
    <x v="3"/>
    <x v="40"/>
    <n v="108"/>
    <n v="100"/>
    <n v="121"/>
    <n v="81"/>
    <n v="95"/>
    <n v="95"/>
    <x v="5"/>
    <x v="1"/>
  </r>
  <r>
    <x v="409"/>
    <s v="Diancie"/>
    <x v="6"/>
    <x v="4"/>
    <x v="40"/>
    <n v="50"/>
    <n v="100"/>
    <n v="150"/>
    <n v="100"/>
    <n v="150"/>
    <n v="50"/>
    <x v="5"/>
    <x v="1"/>
  </r>
  <r>
    <x v="410"/>
    <s v="DiancieMega Diancie"/>
    <x v="6"/>
    <x v="4"/>
    <x v="63"/>
    <n v="50"/>
    <n v="160"/>
    <n v="110"/>
    <n v="160"/>
    <n v="110"/>
    <n v="110"/>
    <x v="5"/>
    <x v="1"/>
  </r>
  <r>
    <x v="411"/>
    <s v="HoopaHoopa Confined"/>
    <x v="10"/>
    <x v="15"/>
    <x v="40"/>
    <n v="80"/>
    <n v="110"/>
    <n v="60"/>
    <n v="150"/>
    <n v="130"/>
    <n v="70"/>
    <x v="5"/>
    <x v="1"/>
  </r>
  <r>
    <x v="412"/>
    <s v="HoopaHoopa Unbound"/>
    <x v="10"/>
    <x v="11"/>
    <x v="64"/>
    <n v="80"/>
    <n v="160"/>
    <n v="60"/>
    <n v="170"/>
    <n v="130"/>
    <n v="80"/>
    <x v="5"/>
    <x v="1"/>
  </r>
  <r>
    <x v="413"/>
    <s v="Volcanion"/>
    <x v="1"/>
    <x v="12"/>
    <x v="40"/>
    <n v="80"/>
    <n v="110"/>
    <n v="120"/>
    <n v="130"/>
    <n v="90"/>
    <n v="7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6FD580-7BDB-4272-BE3F-51F6C3B878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L4:M23" firstHeaderRow="1" firstDataRow="1" firstDataCol="1"/>
  <pivotFields count="13">
    <pivotField showAll="0"/>
    <pivotField dataField="1" showAll="0"/>
    <pivotField showAll="0" sortType="ascending">
      <items count="19">
        <item x="2"/>
        <item x="14"/>
        <item x="12"/>
        <item x="7"/>
        <item x="13"/>
        <item x="16"/>
        <item x="1"/>
        <item x="17"/>
        <item x="8"/>
        <item x="0"/>
        <item x="9"/>
        <item x="11"/>
        <item x="3"/>
        <item x="4"/>
        <item x="10"/>
        <item x="6"/>
        <item x="15"/>
        <item x="5"/>
        <item t="default"/>
      </items>
      <autoSortScope>
        <pivotArea dataOnly="0" outline="0" fieldPosition="0">
          <references count="1">
            <reference field="4294967294" count="1" selected="0">
              <x v="0"/>
            </reference>
          </references>
        </pivotArea>
      </autoSortScope>
    </pivotField>
    <pivotField axis="axisRow" showAll="0">
      <items count="19">
        <item x="16"/>
        <item x="11"/>
        <item x="2"/>
        <item x="13"/>
        <item x="4"/>
        <item x="6"/>
        <item x="14"/>
        <item x="1"/>
        <item x="15"/>
        <item x="5"/>
        <item x="3"/>
        <item x="9"/>
        <item x="17"/>
        <item x="0"/>
        <item x="7"/>
        <item x="10"/>
        <item x="8"/>
        <item x="12"/>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3">
        <item x="1"/>
        <item x="0"/>
        <item t="default"/>
      </items>
    </pivotField>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Name" fld="1" subtotal="count" baseField="0" baseItem="0"/>
  </dataFields>
  <chartFormats count="2">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94FEC-8CBA-4DEF-8F27-9E3FF3EA02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2" firstHeaderRow="1" firstDataRow="1" firstDataCol="1"/>
  <pivotFields count="13">
    <pivotField showAll="0"/>
    <pivotField dataField="1" showAll="0"/>
    <pivotField showAll="0" sortType="ascending">
      <items count="19">
        <item x="2"/>
        <item x="14"/>
        <item x="12"/>
        <item x="7"/>
        <item x="13"/>
        <item x="16"/>
        <item x="1"/>
        <item x="17"/>
        <item x="8"/>
        <item x="0"/>
        <item x="9"/>
        <item x="11"/>
        <item x="3"/>
        <item x="4"/>
        <item x="10"/>
        <item x="6"/>
        <item x="15"/>
        <item x="5"/>
        <item t="default"/>
      </items>
      <autoSortScope>
        <pivotArea dataOnly="0" outline="0" fieldPosition="0">
          <references count="1">
            <reference field="4294967294" count="1" selected="0">
              <x v="0"/>
            </reference>
          </references>
        </pivotArea>
      </autoSortScope>
    </pivotField>
    <pivotField axis="axisRow" showAll="0">
      <items count="19">
        <item x="16"/>
        <item x="11"/>
        <item x="2"/>
        <item x="13"/>
        <item x="4"/>
        <item x="6"/>
        <item x="14"/>
        <item x="1"/>
        <item x="15"/>
        <item x="5"/>
        <item x="3"/>
        <item x="9"/>
        <item x="17"/>
        <item x="0"/>
        <item x="7"/>
        <item x="10"/>
        <item x="8"/>
        <item x="12"/>
        <item t="default"/>
      </items>
    </pivotField>
    <pivotField showAll="0">
      <items count="147">
        <item x="79"/>
        <item x="7"/>
        <item x="70"/>
        <item x="8"/>
        <item x="55"/>
        <item x="68"/>
        <item x="78"/>
        <item x="90"/>
        <item x="19"/>
        <item x="53"/>
        <item x="10"/>
        <item x="110"/>
        <item x="14"/>
        <item x="102"/>
        <item x="52"/>
        <item x="76"/>
        <item x="74"/>
        <item x="17"/>
        <item x="124"/>
        <item x="71"/>
        <item x="80"/>
        <item x="23"/>
        <item x="84"/>
        <item x="140"/>
        <item x="86"/>
        <item x="112"/>
        <item x="119"/>
        <item x="27"/>
        <item x="127"/>
        <item x="24"/>
        <item x="139"/>
        <item x="145"/>
        <item x="36"/>
        <item x="105"/>
        <item x="31"/>
        <item x="0"/>
        <item x="121"/>
        <item x="21"/>
        <item x="33"/>
        <item x="94"/>
        <item x="54"/>
        <item x="96"/>
        <item x="29"/>
        <item x="59"/>
        <item x="43"/>
        <item x="92"/>
        <item x="11"/>
        <item x="88"/>
        <item x="113"/>
        <item x="35"/>
        <item x="48"/>
        <item x="103"/>
        <item x="111"/>
        <item x="142"/>
        <item x="135"/>
        <item x="125"/>
        <item x="62"/>
        <item x="133"/>
        <item x="108"/>
        <item x="41"/>
        <item x="28"/>
        <item x="6"/>
        <item x="81"/>
        <item x="115"/>
        <item x="1"/>
        <item x="61"/>
        <item x="95"/>
        <item x="75"/>
        <item x="100"/>
        <item x="58"/>
        <item x="132"/>
        <item x="89"/>
        <item x="106"/>
        <item x="118"/>
        <item x="60"/>
        <item x="144"/>
        <item x="18"/>
        <item x="83"/>
        <item x="15"/>
        <item x="137"/>
        <item x="25"/>
        <item x="20"/>
        <item x="77"/>
        <item x="37"/>
        <item x="120"/>
        <item x="34"/>
        <item x="85"/>
        <item x="56"/>
        <item x="126"/>
        <item x="122"/>
        <item x="117"/>
        <item x="91"/>
        <item x="38"/>
        <item x="12"/>
        <item x="69"/>
        <item x="141"/>
        <item x="138"/>
        <item x="128"/>
        <item x="129"/>
        <item x="44"/>
        <item x="104"/>
        <item x="123"/>
        <item x="22"/>
        <item x="97"/>
        <item x="9"/>
        <item x="93"/>
        <item x="134"/>
        <item x="39"/>
        <item x="16"/>
        <item x="136"/>
        <item x="107"/>
        <item x="109"/>
        <item x="26"/>
        <item x="30"/>
        <item x="72"/>
        <item x="114"/>
        <item x="42"/>
        <item x="143"/>
        <item x="2"/>
        <item x="101"/>
        <item x="66"/>
        <item x="4"/>
        <item x="47"/>
        <item x="45"/>
        <item x="99"/>
        <item x="130"/>
        <item x="82"/>
        <item x="116"/>
        <item x="13"/>
        <item x="50"/>
        <item x="32"/>
        <item x="98"/>
        <item x="40"/>
        <item x="57"/>
        <item x="49"/>
        <item x="73"/>
        <item x="3"/>
        <item x="65"/>
        <item x="5"/>
        <item x="67"/>
        <item x="46"/>
        <item x="131"/>
        <item x="64"/>
        <item x="63"/>
        <item x="87"/>
        <item x="51"/>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3">
        <item x="1"/>
        <item x="0"/>
        <item t="default"/>
      </items>
    </pivotField>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81A93-7221-4A72-8E08-34BA5E36238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26:M33" firstHeaderRow="1" firstDataRow="1" firstDataCol="1"/>
  <pivotFields count="13">
    <pivotField showAll="0"/>
    <pivotField dataField="1" showAll="0"/>
    <pivotField showAll="0" sortType="ascending">
      <items count="19">
        <item x="2"/>
        <item x="14"/>
        <item x="12"/>
        <item x="7"/>
        <item x="13"/>
        <item x="16"/>
        <item x="1"/>
        <item x="17"/>
        <item x="8"/>
        <item x="0"/>
        <item x="9"/>
        <item x="11"/>
        <item x="3"/>
        <item x="4"/>
        <item x="10"/>
        <item x="6"/>
        <item x="15"/>
        <item x="5"/>
        <item t="default"/>
      </items>
      <autoSortScope>
        <pivotArea dataOnly="0" outline="0" fieldPosition="0">
          <references count="1">
            <reference field="4294967294" count="1" selected="0">
              <x v="0"/>
            </reference>
          </references>
        </pivotArea>
      </autoSortScope>
    </pivotField>
    <pivotField showAll="0">
      <items count="19">
        <item x="16"/>
        <item x="11"/>
        <item x="2"/>
        <item x="13"/>
        <item x="4"/>
        <item x="6"/>
        <item x="14"/>
        <item x="1"/>
        <item x="15"/>
        <item x="5"/>
        <item x="3"/>
        <item x="9"/>
        <item x="17"/>
        <item x="0"/>
        <item x="7"/>
        <item x="10"/>
        <item x="8"/>
        <item x="12"/>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items count="3">
        <item x="1"/>
        <item x="0"/>
        <item t="default"/>
      </items>
    </pivotField>
  </pivotFields>
  <rowFields count="1">
    <field x="11"/>
  </rowFields>
  <rowItems count="7">
    <i>
      <x/>
    </i>
    <i>
      <x v="1"/>
    </i>
    <i>
      <x v="2"/>
    </i>
    <i>
      <x v="3"/>
    </i>
    <i>
      <x v="4"/>
    </i>
    <i>
      <x v="5"/>
    </i>
    <i t="grand">
      <x/>
    </i>
  </rowItems>
  <colItems count="1">
    <i/>
  </colItems>
  <dataFields count="1">
    <dataField name="Count of Name"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35F12-851C-447E-B843-05EB90108A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6:B29" firstHeaderRow="1" firstDataRow="1" firstDataCol="1"/>
  <pivotFields count="13">
    <pivotField showAll="0"/>
    <pivotField dataField="1" showAll="0"/>
    <pivotField showAll="0" sortType="ascending">
      <items count="19">
        <item x="2"/>
        <item x="14"/>
        <item x="12"/>
        <item x="7"/>
        <item x="13"/>
        <item x="16"/>
        <item x="1"/>
        <item x="17"/>
        <item x="8"/>
        <item x="0"/>
        <item x="9"/>
        <item x="11"/>
        <item x="3"/>
        <item x="4"/>
        <item x="10"/>
        <item x="6"/>
        <item x="15"/>
        <item x="5"/>
        <item t="default"/>
      </items>
      <autoSortScope>
        <pivotArea dataOnly="0" outline="0" fieldPosition="0">
          <references count="1">
            <reference field="4294967294" count="1" selected="0">
              <x v="0"/>
            </reference>
          </references>
        </pivotArea>
      </autoSortScope>
    </pivotField>
    <pivotField showAll="0">
      <items count="19">
        <item x="16"/>
        <item x="11"/>
        <item x="2"/>
        <item x="13"/>
        <item x="4"/>
        <item x="6"/>
        <item x="14"/>
        <item x="1"/>
        <item x="15"/>
        <item x="5"/>
        <item x="3"/>
        <item x="9"/>
        <item x="17"/>
        <item x="0"/>
        <item x="7"/>
        <item x="10"/>
        <item x="8"/>
        <item x="12"/>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axis="axisRow" showAll="0">
      <items count="3">
        <item x="1"/>
        <item x="0"/>
        <item t="default"/>
      </items>
    </pivotField>
  </pivotFields>
  <rowFields count="1">
    <field x="12"/>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2" count="1" selected="0">
            <x v="0"/>
          </reference>
        </references>
      </pivotArea>
    </chartFormat>
    <chartFormat chart="6" format="17">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7BE05-F672-4BFA-A2A6-FA289D927F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L13" firstHeaderRow="1" firstDataRow="3" firstDataCol="1"/>
  <pivotFields count="13">
    <pivotField showAll="0"/>
    <pivotField showAll="0"/>
    <pivotField showAll="0">
      <items count="19">
        <item x="2"/>
        <item x="14"/>
        <item x="12"/>
        <item x="7"/>
        <item x="13"/>
        <item x="16"/>
        <item x="1"/>
        <item x="17"/>
        <item x="8"/>
        <item x="0"/>
        <item x="9"/>
        <item x="11"/>
        <item x="3"/>
        <item x="4"/>
        <item x="10"/>
        <item x="6"/>
        <item x="15"/>
        <item x="5"/>
        <item t="default"/>
      </items>
    </pivotField>
    <pivotField showAll="0">
      <items count="19">
        <item x="16"/>
        <item x="11"/>
        <item x="2"/>
        <item x="13"/>
        <item x="4"/>
        <item x="6"/>
        <item x="14"/>
        <item x="1"/>
        <item x="15"/>
        <item x="5"/>
        <item x="3"/>
        <item x="9"/>
        <item x="17"/>
        <item x="0"/>
        <item x="7"/>
        <item x="10"/>
        <item x="8"/>
        <item x="12"/>
        <item t="default"/>
      </items>
    </pivotField>
    <pivotField showAll="0"/>
    <pivotField showAll="0"/>
    <pivotField dataField="1" showAll="0"/>
    <pivotField dataField="1" showAll="0"/>
    <pivotField showAll="0"/>
    <pivotField showAll="0"/>
    <pivotField dataField="1" showAll="0"/>
    <pivotField axis="axisRow" showAll="0">
      <items count="7">
        <item x="0"/>
        <item x="1"/>
        <item x="2"/>
        <item x="3"/>
        <item x="4"/>
        <item x="5"/>
        <item t="default"/>
      </items>
    </pivotField>
    <pivotField axis="axisCol" showAll="0">
      <items count="3">
        <item x="1"/>
        <item x="0"/>
        <item t="default"/>
      </items>
    </pivotField>
  </pivotFields>
  <rowFields count="1">
    <field x="11"/>
  </rowFields>
  <rowItems count="7">
    <i>
      <x/>
    </i>
    <i>
      <x v="1"/>
    </i>
    <i>
      <x v="2"/>
    </i>
    <i>
      <x v="3"/>
    </i>
    <i>
      <x v="4"/>
    </i>
    <i>
      <x v="5"/>
    </i>
    <i t="grand">
      <x/>
    </i>
  </rowItems>
  <colFields count="2">
    <field x="12"/>
    <field x="-2"/>
  </colFields>
  <colItems count="9">
    <i>
      <x/>
      <x/>
    </i>
    <i r="1" i="1">
      <x v="1"/>
    </i>
    <i r="1" i="2">
      <x v="2"/>
    </i>
    <i>
      <x v="1"/>
      <x/>
    </i>
    <i r="1" i="1">
      <x v="1"/>
    </i>
    <i r="1" i="2">
      <x v="2"/>
    </i>
    <i t="grand">
      <x/>
    </i>
    <i t="grand" i="1">
      <x/>
    </i>
    <i t="grand" i="2">
      <x/>
    </i>
  </colItems>
  <dataFields count="3">
    <dataField name="Average of Attack" fld="6" subtotal="average" baseField="11" baseItem="0"/>
    <dataField name="Average of Speed" fld="10" subtotal="average" baseField="11" baseItem="0"/>
    <dataField name="Average of Defense" fld="7" subtotal="average" baseField="11"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1"/>
          </reference>
          <reference field="12" count="1" selected="0">
            <x v="0"/>
          </reference>
        </references>
      </pivotArea>
    </chartFormat>
    <chartFormat chart="0" format="2" series="1">
      <pivotArea type="data" outline="0" fieldPosition="0">
        <references count="2">
          <reference field="4294967294" count="1" selected="0">
            <x v="2"/>
          </reference>
          <reference field="12"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1"/>
          </reference>
          <reference field="12" count="1" selected="0">
            <x v="1"/>
          </reference>
        </references>
      </pivotArea>
    </chartFormat>
    <chartFormat chart="0" format="5" series="1">
      <pivotArea type="data" outline="0" fieldPosition="0">
        <references count="2">
          <reference field="4294967294" count="1" selected="0">
            <x v="2"/>
          </reference>
          <reference field="12" count="1" selected="0">
            <x v="1"/>
          </reference>
        </references>
      </pivotArea>
    </chartFormat>
    <chartFormat chart="6" format="30" series="1">
      <pivotArea type="data" outline="0" fieldPosition="0">
        <references count="2">
          <reference field="4294967294" count="1" selected="0">
            <x v="0"/>
          </reference>
          <reference field="12" count="1" selected="0">
            <x v="0"/>
          </reference>
        </references>
      </pivotArea>
    </chartFormat>
    <chartFormat chart="6" format="31" series="1">
      <pivotArea type="data" outline="0" fieldPosition="0">
        <references count="2">
          <reference field="4294967294" count="1" selected="0">
            <x v="1"/>
          </reference>
          <reference field="12" count="1" selected="0">
            <x v="0"/>
          </reference>
        </references>
      </pivotArea>
    </chartFormat>
    <chartFormat chart="6" format="32" series="1">
      <pivotArea type="data" outline="0" fieldPosition="0">
        <references count="2">
          <reference field="4294967294" count="1" selected="0">
            <x v="2"/>
          </reference>
          <reference field="12" count="1" selected="0">
            <x v="0"/>
          </reference>
        </references>
      </pivotArea>
    </chartFormat>
    <chartFormat chart="6" format="33" series="1">
      <pivotArea type="data" outline="0" fieldPosition="0">
        <references count="2">
          <reference field="4294967294" count="1" selected="0">
            <x v="0"/>
          </reference>
          <reference field="12" count="1" selected="0">
            <x v="1"/>
          </reference>
        </references>
      </pivotArea>
    </chartFormat>
    <chartFormat chart="6" format="34" series="1">
      <pivotArea type="data" outline="0" fieldPosition="0">
        <references count="2">
          <reference field="4294967294" count="1" selected="0">
            <x v="1"/>
          </reference>
          <reference field="12" count="1" selected="0">
            <x v="1"/>
          </reference>
        </references>
      </pivotArea>
    </chartFormat>
    <chartFormat chart="6" format="35" series="1">
      <pivotArea type="data" outline="0" fieldPosition="0">
        <references count="2">
          <reference field="4294967294" count="1" selected="0">
            <x v="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1" xr10:uid="{0D5C9746-D1C8-4450-BEB8-73D9E54818FB}" sourceName="Type_1">
  <pivotTables>
    <pivotTable tabId="6" name="PivotTable5"/>
    <pivotTable tabId="7" name="PivotTable9"/>
    <pivotTable tabId="6" name="PivotTable6"/>
    <pivotTable tabId="6" name="PivotTable7"/>
    <pivotTable tabId="6" name="PivotTable8"/>
  </pivotTables>
  <data>
    <tabular pivotCacheId="698209682">
      <items count="18">
        <i x="2" s="1"/>
        <i x="14" s="1"/>
        <i x="12" s="1"/>
        <i x="7" s="1"/>
        <i x="13" s="1"/>
        <i x="16" s="1"/>
        <i x="1" s="1"/>
        <i x="17" s="1"/>
        <i x="8" s="1"/>
        <i x="0" s="1"/>
        <i x="9" s="1"/>
        <i x="11" s="1"/>
        <i x="3" s="1"/>
        <i x="4" s="1"/>
        <i x="10" s="1"/>
        <i x="6" s="1"/>
        <i x="15"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65A6BF17-6CD8-438A-BCAF-F995E6F29D51}" sourceName="Generation">
  <pivotTables>
    <pivotTable tabId="6" name="PivotTable5"/>
    <pivotTable tabId="7" name="PivotTable9"/>
    <pivotTable tabId="6" name="PivotTable6"/>
    <pivotTable tabId="6" name="PivotTable7"/>
    <pivotTable tabId="6" name="PivotTable8"/>
  </pivotTables>
  <data>
    <tabular pivotCacheId="698209682">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endary_normal" xr10:uid="{28495589-A3ED-4DBF-824B-F743703B8EA8}" sourceName="Legendary/normal">
  <pivotTables>
    <pivotTable tabId="6" name="PivotTable5"/>
    <pivotTable tabId="7" name="PivotTable9"/>
    <pivotTable tabId="6" name="PivotTable6"/>
    <pivotTable tabId="6" name="PivotTable7"/>
    <pivotTable tabId="6" name="PivotTable8"/>
  </pivotTables>
  <data>
    <tabular pivotCacheId="6982096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1" xr10:uid="{9AD170F6-406D-458A-9AA6-BB39586E0417}" cache="Slicer_Type_1" caption="Type_1" rowHeight="234950"/>
  <slicer name="Generation" xr10:uid="{18862C88-B969-4B82-998D-36390424221F}" cache="Slicer_Generation" caption="Generation" rowHeight="234950"/>
  <slicer name="Legendary/normal" xr10:uid="{1CAC36DC-505A-4610-8892-268087B02603}" cache="Slicer_Legendary_normal" caption="Legendary/norm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1 1" xr10:uid="{76B3F57E-9A3B-4FA5-AF20-9E8164DC63D1}" cache="Slicer_Type_1" caption="Type_1" style="SlicerStyleLight4" rowHeight="234950"/>
  <slicer name="Generation 1" xr10:uid="{7E40B277-0F9E-46F2-97B3-207617811B27}" cache="Slicer_Generation" caption="Generation" style="SlicerStyleLight4" rowHeight="234950"/>
  <slicer name="Legendary/normal 1" xr10:uid="{6AF708D1-A0C4-49C3-96E9-57551366C639}" cache="Slicer_Legendary_normal" caption="Legendary/normal"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A4A0-6827-4717-B165-6C792F27386E}">
  <dimension ref="A3:O33"/>
  <sheetViews>
    <sheetView workbookViewId="0">
      <selection activeCell="D4" sqref="D4"/>
    </sheetView>
  </sheetViews>
  <sheetFormatPr defaultRowHeight="14.4" x14ac:dyDescent="0.3"/>
  <cols>
    <col min="1" max="1" width="12.5546875" bestFit="1" customWidth="1"/>
    <col min="2" max="2" width="13.88671875" bestFit="1" customWidth="1"/>
    <col min="3" max="3" width="5.88671875" bestFit="1" customWidth="1"/>
    <col min="4" max="4" width="7.6640625" bestFit="1" customWidth="1"/>
    <col min="5" max="5" width="3.44140625" bestFit="1" customWidth="1"/>
    <col min="6" max="6" width="6.6640625" bestFit="1" customWidth="1"/>
    <col min="7" max="7" width="7" bestFit="1" customWidth="1"/>
    <col min="8" max="8" width="7.33203125" bestFit="1" customWidth="1"/>
    <col min="9" max="9" width="7.21875" bestFit="1" customWidth="1"/>
    <col min="10" max="10" width="7.109375" bestFit="1" customWidth="1"/>
    <col min="11" max="11" width="4.88671875" bestFit="1" customWidth="1"/>
    <col min="12" max="12" width="12.5546875" bestFit="1" customWidth="1"/>
    <col min="13" max="13" width="13.88671875" bestFit="1" customWidth="1"/>
    <col min="14" max="14" width="4" bestFit="1" customWidth="1"/>
    <col min="15" max="15" width="5.109375" bestFit="1" customWidth="1"/>
    <col min="16" max="16" width="5.44140625" bestFit="1" customWidth="1"/>
    <col min="17" max="17" width="7.21875" bestFit="1" customWidth="1"/>
    <col min="18" max="18" width="4.21875" bestFit="1" customWidth="1"/>
    <col min="19" max="19" width="6.109375" bestFit="1" customWidth="1"/>
    <col min="20" max="20" width="10.77734375" bestFit="1" customWidth="1"/>
  </cols>
  <sheetData>
    <row r="3" spans="1:15" x14ac:dyDescent="0.3">
      <c r="A3" s="1" t="s">
        <v>445</v>
      </c>
      <c r="B3" t="s">
        <v>444</v>
      </c>
    </row>
    <row r="4" spans="1:15" x14ac:dyDescent="0.3">
      <c r="A4" s="2" t="s">
        <v>25</v>
      </c>
      <c r="B4" s="13">
        <v>3</v>
      </c>
      <c r="L4" s="1" t="s">
        <v>445</v>
      </c>
      <c r="M4" t="s">
        <v>444</v>
      </c>
    </row>
    <row r="5" spans="1:15" x14ac:dyDescent="0.3">
      <c r="A5" s="2" t="s">
        <v>95</v>
      </c>
      <c r="B5" s="13">
        <v>20</v>
      </c>
      <c r="L5" s="2" t="s">
        <v>25</v>
      </c>
      <c r="M5" s="13">
        <v>3</v>
      </c>
    </row>
    <row r="6" spans="1:15" x14ac:dyDescent="0.3">
      <c r="A6" s="2" t="s">
        <v>22</v>
      </c>
      <c r="B6" s="13">
        <v>18</v>
      </c>
      <c r="L6" s="2" t="s">
        <v>95</v>
      </c>
      <c r="M6" s="13">
        <v>20</v>
      </c>
    </row>
    <row r="7" spans="1:15" x14ac:dyDescent="0.3">
      <c r="A7" s="2" t="s">
        <v>69</v>
      </c>
      <c r="B7" s="13">
        <v>6</v>
      </c>
      <c r="L7" s="2" t="s">
        <v>22</v>
      </c>
      <c r="M7" s="13">
        <v>18</v>
      </c>
      <c r="O7" t="s">
        <v>455</v>
      </c>
    </row>
    <row r="8" spans="1:15" x14ac:dyDescent="0.3">
      <c r="A8" s="2" t="s">
        <v>41</v>
      </c>
      <c r="B8" s="13">
        <v>23</v>
      </c>
      <c r="E8" t="s">
        <v>454</v>
      </c>
      <c r="L8" s="2" t="s">
        <v>69</v>
      </c>
      <c r="M8" s="13">
        <v>6</v>
      </c>
    </row>
    <row r="9" spans="1:15" x14ac:dyDescent="0.3">
      <c r="A9" s="2" t="s">
        <v>54</v>
      </c>
      <c r="B9" s="13">
        <v>26</v>
      </c>
      <c r="L9" s="2" t="s">
        <v>41</v>
      </c>
      <c r="M9" s="13">
        <v>23</v>
      </c>
    </row>
    <row r="10" spans="1:15" x14ac:dyDescent="0.3">
      <c r="A10" s="2" t="s">
        <v>19</v>
      </c>
      <c r="B10" s="13">
        <v>12</v>
      </c>
      <c r="L10" s="2" t="s">
        <v>54</v>
      </c>
      <c r="M10" s="13">
        <v>26</v>
      </c>
    </row>
    <row r="11" spans="1:15" x14ac:dyDescent="0.3">
      <c r="A11" s="2" t="s">
        <v>20</v>
      </c>
      <c r="B11" s="13">
        <v>97</v>
      </c>
      <c r="L11" s="2" t="s">
        <v>19</v>
      </c>
      <c r="M11" s="13">
        <v>12</v>
      </c>
    </row>
    <row r="12" spans="1:15" x14ac:dyDescent="0.3">
      <c r="A12" s="2" t="s">
        <v>79</v>
      </c>
      <c r="B12" s="13">
        <v>14</v>
      </c>
      <c r="L12" s="2" t="s">
        <v>20</v>
      </c>
      <c r="M12" s="13">
        <v>97</v>
      </c>
    </row>
    <row r="13" spans="1:15" x14ac:dyDescent="0.3">
      <c r="A13" s="2" t="s">
        <v>13</v>
      </c>
      <c r="B13" s="13">
        <v>25</v>
      </c>
      <c r="L13" s="2" t="s">
        <v>79</v>
      </c>
      <c r="M13" s="13">
        <v>14</v>
      </c>
    </row>
    <row r="14" spans="1:15" x14ac:dyDescent="0.3">
      <c r="A14" s="2" t="s">
        <v>38</v>
      </c>
      <c r="B14" s="13">
        <v>35</v>
      </c>
      <c r="L14" s="2" t="s">
        <v>13</v>
      </c>
      <c r="M14" s="13">
        <v>25</v>
      </c>
    </row>
    <row r="15" spans="1:15" x14ac:dyDescent="0.3">
      <c r="A15" s="2" t="s">
        <v>76</v>
      </c>
      <c r="B15" s="13">
        <v>14</v>
      </c>
      <c r="L15" s="2" t="s">
        <v>38</v>
      </c>
      <c r="M15" s="13">
        <v>35</v>
      </c>
    </row>
    <row r="16" spans="1:15" x14ac:dyDescent="0.3">
      <c r="A16" s="2" t="s">
        <v>31</v>
      </c>
      <c r="B16" s="13">
        <v>4</v>
      </c>
      <c r="L16" s="2" t="s">
        <v>76</v>
      </c>
      <c r="M16" s="13">
        <v>14</v>
      </c>
    </row>
    <row r="17" spans="1:15" x14ac:dyDescent="0.3">
      <c r="A17" s="2" t="s">
        <v>14</v>
      </c>
      <c r="B17" s="13">
        <v>34</v>
      </c>
      <c r="L17" s="2" t="s">
        <v>31</v>
      </c>
      <c r="M17" s="13">
        <v>4</v>
      </c>
    </row>
    <row r="18" spans="1:15" x14ac:dyDescent="0.3">
      <c r="A18" s="2" t="s">
        <v>65</v>
      </c>
      <c r="B18" s="13">
        <v>33</v>
      </c>
      <c r="L18" s="2" t="s">
        <v>14</v>
      </c>
      <c r="M18" s="13">
        <v>34</v>
      </c>
    </row>
    <row r="19" spans="1:15" x14ac:dyDescent="0.3">
      <c r="A19" s="2" t="s">
        <v>61</v>
      </c>
      <c r="B19" s="13">
        <v>14</v>
      </c>
      <c r="L19" s="2" t="s">
        <v>65</v>
      </c>
      <c r="M19" s="13">
        <v>33</v>
      </c>
    </row>
    <row r="20" spans="1:15" x14ac:dyDescent="0.3">
      <c r="A20" s="2" t="s">
        <v>70</v>
      </c>
      <c r="B20" s="13">
        <v>22</v>
      </c>
      <c r="L20" s="2" t="s">
        <v>61</v>
      </c>
      <c r="M20" s="13">
        <v>14</v>
      </c>
    </row>
    <row r="21" spans="1:15" x14ac:dyDescent="0.3">
      <c r="A21" s="2" t="s">
        <v>53</v>
      </c>
      <c r="B21" s="13">
        <v>14</v>
      </c>
      <c r="L21" s="2" t="s">
        <v>70</v>
      </c>
      <c r="M21" s="13">
        <v>22</v>
      </c>
    </row>
    <row r="22" spans="1:15" x14ac:dyDescent="0.3">
      <c r="A22" s="2" t="s">
        <v>446</v>
      </c>
      <c r="B22" s="13">
        <v>414</v>
      </c>
      <c r="L22" s="2" t="s">
        <v>53</v>
      </c>
      <c r="M22" s="13">
        <v>14</v>
      </c>
    </row>
    <row r="23" spans="1:15" x14ac:dyDescent="0.3">
      <c r="L23" s="2" t="s">
        <v>446</v>
      </c>
      <c r="M23" s="13">
        <v>414</v>
      </c>
    </row>
    <row r="26" spans="1:15" x14ac:dyDescent="0.3">
      <c r="A26" s="1" t="s">
        <v>445</v>
      </c>
      <c r="B26" t="s">
        <v>444</v>
      </c>
      <c r="L26" s="1" t="s">
        <v>445</v>
      </c>
      <c r="M26" t="s">
        <v>444</v>
      </c>
    </row>
    <row r="27" spans="1:15" x14ac:dyDescent="0.3">
      <c r="A27" s="2" t="s">
        <v>451</v>
      </c>
      <c r="B27" s="13">
        <v>40</v>
      </c>
      <c r="L27" s="2">
        <v>1</v>
      </c>
      <c r="M27" s="13">
        <v>78</v>
      </c>
      <c r="O27" t="s">
        <v>457</v>
      </c>
    </row>
    <row r="28" spans="1:15" x14ac:dyDescent="0.3">
      <c r="A28" s="2" t="s">
        <v>453</v>
      </c>
      <c r="B28" s="13">
        <v>374</v>
      </c>
      <c r="L28" s="2">
        <v>2</v>
      </c>
      <c r="M28" s="13">
        <v>55</v>
      </c>
    </row>
    <row r="29" spans="1:15" x14ac:dyDescent="0.3">
      <c r="A29" s="2" t="s">
        <v>446</v>
      </c>
      <c r="B29" s="13">
        <v>414</v>
      </c>
      <c r="L29" s="2">
        <v>3</v>
      </c>
      <c r="M29" s="13">
        <v>82</v>
      </c>
    </row>
    <row r="30" spans="1:15" x14ac:dyDescent="0.3">
      <c r="L30" s="2">
        <v>4</v>
      </c>
      <c r="M30" s="13">
        <v>67</v>
      </c>
    </row>
    <row r="31" spans="1:15" x14ac:dyDescent="0.3">
      <c r="L31" s="2">
        <v>5</v>
      </c>
      <c r="M31" s="13">
        <v>82</v>
      </c>
    </row>
    <row r="32" spans="1:15" x14ac:dyDescent="0.3">
      <c r="A32" t="s">
        <v>456</v>
      </c>
      <c r="L32" s="2">
        <v>6</v>
      </c>
      <c r="M32" s="13">
        <v>50</v>
      </c>
    </row>
    <row r="33" spans="12:13" x14ac:dyDescent="0.3">
      <c r="L33" s="2" t="s">
        <v>446</v>
      </c>
      <c r="M33" s="13">
        <v>414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590E-C8E5-437C-BCD8-16A97E5BA2C7}">
  <dimension ref="C4:L15"/>
  <sheetViews>
    <sheetView workbookViewId="0">
      <selection activeCell="A26" sqref="A26:B29"/>
    </sheetView>
  </sheetViews>
  <sheetFormatPr defaultRowHeight="14.4" x14ac:dyDescent="0.3"/>
  <cols>
    <col min="3" max="3" width="12.5546875" bestFit="1" customWidth="1"/>
    <col min="4" max="4" width="16.109375" bestFit="1" customWidth="1"/>
    <col min="5" max="5" width="15.88671875" bestFit="1" customWidth="1"/>
    <col min="6" max="6" width="17.5546875" bestFit="1" customWidth="1"/>
    <col min="7" max="7" width="16.109375" bestFit="1" customWidth="1"/>
    <col min="8" max="8" width="15.88671875" bestFit="1" customWidth="1"/>
    <col min="9" max="9" width="17.5546875" bestFit="1" customWidth="1"/>
    <col min="10" max="10" width="20.88671875" bestFit="1" customWidth="1"/>
    <col min="11" max="11" width="20.6640625" bestFit="1" customWidth="1"/>
    <col min="12" max="12" width="22.33203125" bestFit="1" customWidth="1"/>
    <col min="13" max="13" width="17.77734375" bestFit="1" customWidth="1"/>
    <col min="14" max="14" width="17.5546875" bestFit="1" customWidth="1"/>
    <col min="15" max="15" width="19.109375" bestFit="1" customWidth="1"/>
    <col min="16" max="16" width="13.44140625" bestFit="1" customWidth="1"/>
    <col min="17" max="17" width="10.77734375" bestFit="1" customWidth="1"/>
  </cols>
  <sheetData>
    <row r="4" spans="3:12" x14ac:dyDescent="0.3">
      <c r="D4" s="1" t="s">
        <v>447</v>
      </c>
    </row>
    <row r="5" spans="3:12" x14ac:dyDescent="0.3">
      <c r="D5" t="s">
        <v>451</v>
      </c>
      <c r="G5" t="s">
        <v>453</v>
      </c>
      <c r="J5" t="s">
        <v>458</v>
      </c>
      <c r="K5" t="s">
        <v>459</v>
      </c>
      <c r="L5" t="s">
        <v>460</v>
      </c>
    </row>
    <row r="6" spans="3:12" x14ac:dyDescent="0.3">
      <c r="C6" s="1" t="s">
        <v>445</v>
      </c>
      <c r="D6" t="s">
        <v>448</v>
      </c>
      <c r="E6" t="s">
        <v>450</v>
      </c>
      <c r="F6" t="s">
        <v>449</v>
      </c>
      <c r="G6" t="s">
        <v>448</v>
      </c>
      <c r="H6" t="s">
        <v>450</v>
      </c>
      <c r="I6" t="s">
        <v>449</v>
      </c>
    </row>
    <row r="7" spans="3:12" x14ac:dyDescent="0.3">
      <c r="C7" s="2">
        <v>1</v>
      </c>
      <c r="D7" s="13">
        <v>116.25</v>
      </c>
      <c r="E7" s="13">
        <v>101.25</v>
      </c>
      <c r="F7" s="13">
        <v>93.75</v>
      </c>
      <c r="G7" s="13">
        <v>79.310810810810807</v>
      </c>
      <c r="H7" s="13">
        <v>69.891891891891888</v>
      </c>
      <c r="I7" s="13">
        <v>76.243243243243242</v>
      </c>
      <c r="J7" s="13">
        <v>81.205128205128204</v>
      </c>
      <c r="K7" s="13">
        <v>71.5</v>
      </c>
      <c r="L7" s="13">
        <v>77.141025641025635</v>
      </c>
    </row>
    <row r="8" spans="3:12" x14ac:dyDescent="0.3">
      <c r="C8" s="2">
        <v>2</v>
      </c>
      <c r="D8" s="13">
        <v>110</v>
      </c>
      <c r="E8" s="13">
        <v>100</v>
      </c>
      <c r="F8" s="13">
        <v>110</v>
      </c>
      <c r="G8" s="13">
        <v>73.716981132075475</v>
      </c>
      <c r="H8" s="13">
        <v>63.377358490566039</v>
      </c>
      <c r="I8" s="13">
        <v>79.679245283018872</v>
      </c>
      <c r="J8" s="13">
        <v>75.036363636363632</v>
      </c>
      <c r="K8" s="13">
        <v>64.709090909090904</v>
      </c>
      <c r="L8" s="13">
        <v>80.781818181818181</v>
      </c>
    </row>
    <row r="9" spans="3:12" x14ac:dyDescent="0.3">
      <c r="C9" s="2">
        <v>3</v>
      </c>
      <c r="D9" s="13">
        <v>126.25</v>
      </c>
      <c r="E9" s="13">
        <v>105</v>
      </c>
      <c r="F9" s="13">
        <v>105</v>
      </c>
      <c r="G9" s="13">
        <v>81.702702702702709</v>
      </c>
      <c r="H9" s="13">
        <v>64.959459459459453</v>
      </c>
      <c r="I9" s="13">
        <v>74.824324324324323</v>
      </c>
      <c r="J9" s="13">
        <v>86.048780487804876</v>
      </c>
      <c r="K9" s="13">
        <v>68.865853658536579</v>
      </c>
      <c r="L9" s="13">
        <v>77.768292682926827</v>
      </c>
    </row>
    <row r="10" spans="3:12" x14ac:dyDescent="0.3">
      <c r="C10" s="2">
        <v>4</v>
      </c>
      <c r="D10" s="13">
        <v>108.83333333333333</v>
      </c>
      <c r="E10" s="13">
        <v>95.666666666666671</v>
      </c>
      <c r="F10" s="13">
        <v>103.5</v>
      </c>
      <c r="G10" s="13">
        <v>82.803278688524586</v>
      </c>
      <c r="H10" s="13">
        <v>71</v>
      </c>
      <c r="I10" s="13">
        <v>81.032786885245898</v>
      </c>
      <c r="J10" s="13">
        <v>85.134328358208961</v>
      </c>
      <c r="K10" s="13">
        <v>73.208955223880594</v>
      </c>
      <c r="L10" s="13">
        <v>83.044776119402982</v>
      </c>
    </row>
    <row r="11" spans="3:12" x14ac:dyDescent="0.3">
      <c r="C11" s="2">
        <v>5</v>
      </c>
      <c r="D11" s="13">
        <v>122.23076923076923</v>
      </c>
      <c r="E11" s="13">
        <v>99.461538461538467</v>
      </c>
      <c r="F11" s="13">
        <v>93.15384615384616</v>
      </c>
      <c r="G11" s="13">
        <v>79.231884057971016</v>
      </c>
      <c r="H11" s="13">
        <v>67.565217391304344</v>
      </c>
      <c r="I11" s="13">
        <v>75.173913043478265</v>
      </c>
      <c r="J11" s="13">
        <v>86.048780487804876</v>
      </c>
      <c r="K11" s="13">
        <v>72.621951219512198</v>
      </c>
      <c r="L11" s="13">
        <v>78.024390243902445</v>
      </c>
    </row>
    <row r="12" spans="3:12" x14ac:dyDescent="0.3">
      <c r="C12" s="2">
        <v>6</v>
      </c>
      <c r="D12" s="13">
        <v>124.42857142857143</v>
      </c>
      <c r="E12" s="13">
        <v>82</v>
      </c>
      <c r="F12" s="13">
        <v>102.28571428571429</v>
      </c>
      <c r="G12" s="13">
        <v>76.418604651162795</v>
      </c>
      <c r="H12" s="13">
        <v>69.20930232558139</v>
      </c>
      <c r="I12" s="13">
        <v>80.720930232558146</v>
      </c>
      <c r="J12" s="13">
        <v>83.14</v>
      </c>
      <c r="K12" s="13">
        <v>71</v>
      </c>
      <c r="L12" s="13">
        <v>83.74</v>
      </c>
    </row>
    <row r="13" spans="3:12" x14ac:dyDescent="0.3">
      <c r="C13" s="2" t="s">
        <v>446</v>
      </c>
      <c r="D13" s="13">
        <v>120.2</v>
      </c>
      <c r="E13" s="13">
        <v>97.15</v>
      </c>
      <c r="F13" s="13">
        <v>99.575000000000003</v>
      </c>
      <c r="G13" s="13">
        <v>79.213903743315512</v>
      </c>
      <c r="H13" s="13">
        <v>67.665775401069524</v>
      </c>
      <c r="I13" s="13">
        <v>77.548128342245988</v>
      </c>
      <c r="J13" s="13">
        <v>83.173913043478265</v>
      </c>
      <c r="K13" s="13">
        <v>70.514492753623188</v>
      </c>
      <c r="L13" s="13">
        <v>79.676328502415458</v>
      </c>
    </row>
    <row r="15" spans="3:12" x14ac:dyDescent="0.3">
      <c r="E15" t="s">
        <v>461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6163-ED13-466E-B032-C90D1A3F63CC}">
  <dimension ref="B17:AC32"/>
  <sheetViews>
    <sheetView showGridLines="0" showRowColHeaders="0" tabSelected="1" zoomScale="79" zoomScaleNormal="79" workbookViewId="0">
      <selection activeCell="R38" sqref="R38"/>
    </sheetView>
  </sheetViews>
  <sheetFormatPr defaultRowHeight="14.4" x14ac:dyDescent="0.3"/>
  <sheetData>
    <row r="17" spans="2:29" x14ac:dyDescent="0.3">
      <c r="AA17" s="11"/>
      <c r="AB17" s="12"/>
      <c r="AC17" s="12"/>
    </row>
    <row r="18" spans="2:29" ht="15" x14ac:dyDescent="0.35">
      <c r="B18" s="5"/>
      <c r="C18" s="6"/>
      <c r="D18" s="6"/>
      <c r="E18" s="6"/>
      <c r="F18" s="6"/>
      <c r="G18" s="6"/>
      <c r="J18" s="9"/>
      <c r="K18" s="7"/>
      <c r="L18" s="7"/>
      <c r="M18" s="7"/>
      <c r="N18" s="7"/>
      <c r="Q18" s="7"/>
      <c r="R18" s="9"/>
      <c r="S18" s="8"/>
      <c r="T18" s="8"/>
      <c r="U18" s="8"/>
      <c r="V18" s="7"/>
      <c r="AA18" s="12"/>
      <c r="AB18" s="12"/>
      <c r="AC18" s="12"/>
    </row>
    <row r="20" spans="2:29" x14ac:dyDescent="0.3">
      <c r="P20" s="10"/>
      <c r="Q20" s="10"/>
      <c r="R20" s="10"/>
      <c r="S20" s="10"/>
      <c r="T20" s="10"/>
      <c r="U20" s="10"/>
      <c r="V20" s="10"/>
      <c r="W20" s="10"/>
      <c r="X20" s="10"/>
    </row>
    <row r="32" spans="2:29" x14ac:dyDescent="0.3">
      <c r="B32" s="10"/>
      <c r="C32" s="10"/>
      <c r="D32" s="10"/>
      <c r="E32" s="10"/>
      <c r="F32" s="10"/>
    </row>
  </sheetData>
  <mergeCells count="3">
    <mergeCell ref="B32:F32"/>
    <mergeCell ref="P20:X20"/>
    <mergeCell ref="AA17:AC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5495-0202-481B-B971-DE6CC6A361C1}">
  <dimension ref="A1:P415"/>
  <sheetViews>
    <sheetView topLeftCell="H1" zoomScale="85" zoomScaleNormal="85" workbookViewId="0">
      <selection activeCell="P12" sqref="P12"/>
    </sheetView>
  </sheetViews>
  <sheetFormatPr defaultRowHeight="14.4" x14ac:dyDescent="0.3"/>
  <cols>
    <col min="2" max="2" width="26.6640625" bestFit="1" customWidth="1"/>
    <col min="13" max="13" width="16" bestFit="1" customWidth="1"/>
    <col min="15" max="15" width="14.21875" bestFit="1" customWidth="1"/>
  </cols>
  <sheetData>
    <row r="1" spans="1:16" x14ac:dyDescent="0.3">
      <c r="A1" s="4" t="s">
        <v>0</v>
      </c>
      <c r="B1" s="4" t="s">
        <v>1</v>
      </c>
      <c r="C1" s="4" t="s">
        <v>2</v>
      </c>
      <c r="D1" s="4" t="s">
        <v>3</v>
      </c>
      <c r="E1" s="4" t="s">
        <v>4</v>
      </c>
      <c r="F1" s="4" t="s">
        <v>5</v>
      </c>
      <c r="G1" s="4" t="s">
        <v>6</v>
      </c>
      <c r="H1" s="4" t="s">
        <v>7</v>
      </c>
      <c r="I1" s="4" t="s">
        <v>8</v>
      </c>
      <c r="J1" s="4" t="s">
        <v>9</v>
      </c>
      <c r="K1" s="4" t="s">
        <v>10</v>
      </c>
      <c r="L1" s="4" t="s">
        <v>11</v>
      </c>
      <c r="M1" s="4" t="s">
        <v>452</v>
      </c>
    </row>
    <row r="2" spans="1:16" x14ac:dyDescent="0.3">
      <c r="A2" s="3">
        <v>1</v>
      </c>
      <c r="B2" s="3" t="s">
        <v>12</v>
      </c>
      <c r="C2" s="3" t="s">
        <v>13</v>
      </c>
      <c r="D2" s="3" t="s">
        <v>14</v>
      </c>
      <c r="E2" s="3">
        <v>318</v>
      </c>
      <c r="F2" s="3">
        <v>45</v>
      </c>
      <c r="G2" s="3">
        <v>49</v>
      </c>
      <c r="H2" s="3">
        <v>49</v>
      </c>
      <c r="I2" s="3">
        <v>65</v>
      </c>
      <c r="J2" s="3">
        <v>65</v>
      </c>
      <c r="K2" s="3">
        <v>45</v>
      </c>
      <c r="L2" s="3">
        <v>1</v>
      </c>
      <c r="M2" s="3" t="s">
        <v>453</v>
      </c>
    </row>
    <row r="3" spans="1:16" x14ac:dyDescent="0.3">
      <c r="A3" s="3">
        <v>2</v>
      </c>
      <c r="B3" s="3" t="s">
        <v>15</v>
      </c>
      <c r="C3" s="3" t="s">
        <v>13</v>
      </c>
      <c r="D3" s="3" t="s">
        <v>14</v>
      </c>
      <c r="E3" s="3">
        <v>405</v>
      </c>
      <c r="F3" s="3">
        <v>60</v>
      </c>
      <c r="G3" s="3">
        <v>62</v>
      </c>
      <c r="H3" s="3">
        <v>63</v>
      </c>
      <c r="I3" s="3">
        <v>80</v>
      </c>
      <c r="J3" s="3">
        <v>80</v>
      </c>
      <c r="K3" s="3">
        <v>60</v>
      </c>
      <c r="L3" s="3">
        <v>1</v>
      </c>
      <c r="M3" s="3" t="s">
        <v>453</v>
      </c>
    </row>
    <row r="4" spans="1:16" x14ac:dyDescent="0.3">
      <c r="A4" s="3">
        <v>3</v>
      </c>
      <c r="B4" s="3" t="s">
        <v>16</v>
      </c>
      <c r="C4" s="3" t="s">
        <v>13</v>
      </c>
      <c r="D4" s="3" t="s">
        <v>14</v>
      </c>
      <c r="E4" s="3">
        <v>525</v>
      </c>
      <c r="F4" s="3">
        <v>80</v>
      </c>
      <c r="G4" s="3">
        <v>82</v>
      </c>
      <c r="H4" s="3">
        <v>83</v>
      </c>
      <c r="I4" s="3">
        <v>100</v>
      </c>
      <c r="J4" s="3">
        <v>100</v>
      </c>
      <c r="K4" s="3">
        <v>80</v>
      </c>
      <c r="L4" s="3">
        <v>1</v>
      </c>
      <c r="M4" s="3" t="s">
        <v>453</v>
      </c>
    </row>
    <row r="5" spans="1:16" x14ac:dyDescent="0.3">
      <c r="A5" s="3">
        <v>4</v>
      </c>
      <c r="B5" s="3" t="s">
        <v>17</v>
      </c>
      <c r="C5" s="3" t="s">
        <v>13</v>
      </c>
      <c r="D5" s="3" t="s">
        <v>14</v>
      </c>
      <c r="E5" s="3">
        <v>625</v>
      </c>
      <c r="F5" s="3">
        <v>80</v>
      </c>
      <c r="G5" s="3">
        <v>100</v>
      </c>
      <c r="H5" s="3">
        <v>123</v>
      </c>
      <c r="I5" s="3">
        <v>122</v>
      </c>
      <c r="J5" s="3">
        <v>120</v>
      </c>
      <c r="K5" s="3">
        <v>80</v>
      </c>
      <c r="L5" s="3">
        <v>1</v>
      </c>
      <c r="M5" s="3" t="s">
        <v>453</v>
      </c>
    </row>
    <row r="6" spans="1:16" x14ac:dyDescent="0.3">
      <c r="A6" s="3">
        <v>5</v>
      </c>
      <c r="B6" s="3" t="s">
        <v>18</v>
      </c>
      <c r="C6" s="3" t="s">
        <v>19</v>
      </c>
      <c r="D6" s="3" t="s">
        <v>20</v>
      </c>
      <c r="E6" s="3">
        <v>534</v>
      </c>
      <c r="F6" s="3">
        <v>78</v>
      </c>
      <c r="G6" s="3">
        <v>84</v>
      </c>
      <c r="H6" s="3">
        <v>78</v>
      </c>
      <c r="I6" s="3">
        <v>109</v>
      </c>
      <c r="J6" s="3">
        <v>85</v>
      </c>
      <c r="K6" s="3">
        <v>100</v>
      </c>
      <c r="L6" s="3">
        <v>1</v>
      </c>
      <c r="M6" s="3" t="s">
        <v>453</v>
      </c>
    </row>
    <row r="7" spans="1:16" x14ac:dyDescent="0.3">
      <c r="A7" s="3">
        <v>6</v>
      </c>
      <c r="B7" s="3" t="s">
        <v>21</v>
      </c>
      <c r="C7" s="3" t="s">
        <v>19</v>
      </c>
      <c r="D7" s="3" t="s">
        <v>22</v>
      </c>
      <c r="E7" s="3">
        <v>634</v>
      </c>
      <c r="F7" s="3">
        <v>78</v>
      </c>
      <c r="G7" s="3">
        <v>130</v>
      </c>
      <c r="H7" s="3">
        <v>111</v>
      </c>
      <c r="I7" s="3">
        <v>130</v>
      </c>
      <c r="J7" s="3">
        <v>85</v>
      </c>
      <c r="K7" s="3">
        <v>100</v>
      </c>
      <c r="L7" s="3">
        <v>1</v>
      </c>
      <c r="M7" s="3" t="s">
        <v>453</v>
      </c>
    </row>
    <row r="8" spans="1:16" x14ac:dyDescent="0.3">
      <c r="A8" s="3">
        <v>7</v>
      </c>
      <c r="B8" s="3" t="s">
        <v>23</v>
      </c>
      <c r="C8" s="3" t="s">
        <v>19</v>
      </c>
      <c r="D8" s="3" t="s">
        <v>20</v>
      </c>
      <c r="E8" s="3">
        <v>634</v>
      </c>
      <c r="F8" s="3">
        <v>78</v>
      </c>
      <c r="G8" s="3">
        <v>104</v>
      </c>
      <c r="H8" s="3">
        <v>78</v>
      </c>
      <c r="I8" s="3">
        <v>159</v>
      </c>
      <c r="J8" s="3">
        <v>115</v>
      </c>
      <c r="K8" s="3">
        <v>100</v>
      </c>
      <c r="L8" s="3">
        <v>1</v>
      </c>
      <c r="M8" s="3" t="s">
        <v>453</v>
      </c>
    </row>
    <row r="9" spans="1:16" x14ac:dyDescent="0.3">
      <c r="A9" s="3">
        <v>8</v>
      </c>
      <c r="B9" s="3" t="s">
        <v>24</v>
      </c>
      <c r="C9" s="3" t="s">
        <v>25</v>
      </c>
      <c r="D9" s="3" t="s">
        <v>20</v>
      </c>
      <c r="E9" s="3">
        <v>395</v>
      </c>
      <c r="F9" s="3">
        <v>60</v>
      </c>
      <c r="G9" s="3">
        <v>45</v>
      </c>
      <c r="H9" s="3">
        <v>50</v>
      </c>
      <c r="I9" s="3">
        <v>90</v>
      </c>
      <c r="J9" s="3">
        <v>80</v>
      </c>
      <c r="K9" s="3">
        <v>70</v>
      </c>
      <c r="L9" s="3">
        <v>1</v>
      </c>
      <c r="M9" s="3" t="s">
        <v>453</v>
      </c>
      <c r="O9" t="s">
        <v>462</v>
      </c>
      <c r="P9">
        <f>COUNTA(A:A)-1</f>
        <v>414</v>
      </c>
    </row>
    <row r="10" spans="1:16" x14ac:dyDescent="0.3">
      <c r="A10" s="3">
        <v>9</v>
      </c>
      <c r="B10" s="3" t="s">
        <v>26</v>
      </c>
      <c r="C10" s="3" t="s">
        <v>25</v>
      </c>
      <c r="D10" s="3" t="s">
        <v>14</v>
      </c>
      <c r="E10" s="3">
        <v>195</v>
      </c>
      <c r="F10" s="3">
        <v>40</v>
      </c>
      <c r="G10" s="3">
        <v>35</v>
      </c>
      <c r="H10" s="3">
        <v>30</v>
      </c>
      <c r="I10" s="3">
        <v>20</v>
      </c>
      <c r="J10" s="3">
        <v>20</v>
      </c>
      <c r="K10" s="3">
        <v>50</v>
      </c>
      <c r="L10" s="3">
        <v>1</v>
      </c>
      <c r="M10" s="3" t="s">
        <v>453</v>
      </c>
      <c r="O10" t="s">
        <v>463</v>
      </c>
      <c r="P10">
        <f>COUNTIF(M:M,"legendary")</f>
        <v>40</v>
      </c>
    </row>
    <row r="11" spans="1:16" x14ac:dyDescent="0.3">
      <c r="A11" s="3">
        <v>10</v>
      </c>
      <c r="B11" s="3" t="s">
        <v>27</v>
      </c>
      <c r="C11" s="3" t="s">
        <v>25</v>
      </c>
      <c r="D11" s="3" t="s">
        <v>14</v>
      </c>
      <c r="E11" s="3">
        <v>205</v>
      </c>
      <c r="F11" s="3">
        <v>45</v>
      </c>
      <c r="G11" s="3">
        <v>25</v>
      </c>
      <c r="H11" s="3">
        <v>50</v>
      </c>
      <c r="I11" s="3">
        <v>25</v>
      </c>
      <c r="J11" s="3">
        <v>25</v>
      </c>
      <c r="K11" s="3">
        <v>35</v>
      </c>
      <c r="L11" s="3">
        <v>1</v>
      </c>
      <c r="M11" s="3" t="s">
        <v>453</v>
      </c>
      <c r="O11" t="s">
        <v>464</v>
      </c>
      <c r="P11">
        <f>AVERAGE(G:G)</f>
        <v>83.173913043478265</v>
      </c>
    </row>
    <row r="12" spans="1:16" x14ac:dyDescent="0.3">
      <c r="A12" s="3">
        <v>11</v>
      </c>
      <c r="B12" s="3" t="s">
        <v>28</v>
      </c>
      <c r="C12" s="3" t="s">
        <v>25</v>
      </c>
      <c r="D12" s="3" t="s">
        <v>14</v>
      </c>
      <c r="E12" s="3">
        <v>395</v>
      </c>
      <c r="F12" s="3">
        <v>65</v>
      </c>
      <c r="G12" s="3">
        <v>90</v>
      </c>
      <c r="H12" s="3">
        <v>40</v>
      </c>
      <c r="I12" s="3">
        <v>45</v>
      </c>
      <c r="J12" s="3">
        <v>80</v>
      </c>
      <c r="K12" s="3">
        <v>75</v>
      </c>
      <c r="L12" s="3">
        <v>1</v>
      </c>
      <c r="M12" s="3" t="s">
        <v>453</v>
      </c>
      <c r="O12" t="s">
        <v>465</v>
      </c>
      <c r="P12">
        <f>AVERAGE(H:H)</f>
        <v>79.676328502415458</v>
      </c>
    </row>
    <row r="13" spans="1:16" x14ac:dyDescent="0.3">
      <c r="A13" s="3">
        <v>12</v>
      </c>
      <c r="B13" s="3" t="s">
        <v>29</v>
      </c>
      <c r="C13" s="3" t="s">
        <v>25</v>
      </c>
      <c r="D13" s="3" t="s">
        <v>14</v>
      </c>
      <c r="E13" s="3">
        <v>495</v>
      </c>
      <c r="F13" s="3">
        <v>65</v>
      </c>
      <c r="G13" s="3">
        <v>150</v>
      </c>
      <c r="H13" s="3">
        <v>40</v>
      </c>
      <c r="I13" s="3">
        <v>15</v>
      </c>
      <c r="J13" s="3">
        <v>80</v>
      </c>
      <c r="K13" s="3">
        <v>145</v>
      </c>
      <c r="L13" s="3">
        <v>1</v>
      </c>
      <c r="M13" s="3" t="s">
        <v>453</v>
      </c>
    </row>
    <row r="14" spans="1:16" x14ac:dyDescent="0.3">
      <c r="A14" s="3">
        <v>13</v>
      </c>
      <c r="B14" s="3" t="s">
        <v>30</v>
      </c>
      <c r="C14" s="3" t="s">
        <v>31</v>
      </c>
      <c r="D14" s="3" t="s">
        <v>20</v>
      </c>
      <c r="E14" s="3">
        <v>251</v>
      </c>
      <c r="F14" s="3">
        <v>40</v>
      </c>
      <c r="G14" s="3">
        <v>45</v>
      </c>
      <c r="H14" s="3">
        <v>40</v>
      </c>
      <c r="I14" s="3">
        <v>35</v>
      </c>
      <c r="J14" s="3">
        <v>35</v>
      </c>
      <c r="K14" s="3">
        <v>56</v>
      </c>
      <c r="L14" s="3">
        <v>1</v>
      </c>
      <c r="M14" s="3" t="s">
        <v>453</v>
      </c>
    </row>
    <row r="15" spans="1:16" x14ac:dyDescent="0.3">
      <c r="A15" s="3">
        <v>14</v>
      </c>
      <c r="B15" s="3" t="s">
        <v>32</v>
      </c>
      <c r="C15" s="3" t="s">
        <v>31</v>
      </c>
      <c r="D15" s="3" t="s">
        <v>20</v>
      </c>
      <c r="E15" s="3">
        <v>349</v>
      </c>
      <c r="F15" s="3">
        <v>63</v>
      </c>
      <c r="G15" s="3">
        <v>60</v>
      </c>
      <c r="H15" s="3">
        <v>55</v>
      </c>
      <c r="I15" s="3">
        <v>50</v>
      </c>
      <c r="J15" s="3">
        <v>50</v>
      </c>
      <c r="K15" s="3">
        <v>71</v>
      </c>
      <c r="L15" s="3">
        <v>1</v>
      </c>
      <c r="M15" s="3" t="s">
        <v>453</v>
      </c>
    </row>
    <row r="16" spans="1:16" x14ac:dyDescent="0.3">
      <c r="A16" s="3">
        <v>15</v>
      </c>
      <c r="B16" s="3" t="s">
        <v>33</v>
      </c>
      <c r="C16" s="3" t="s">
        <v>31</v>
      </c>
      <c r="D16" s="3" t="s">
        <v>20</v>
      </c>
      <c r="E16" s="3">
        <v>479</v>
      </c>
      <c r="F16" s="3">
        <v>83</v>
      </c>
      <c r="G16" s="3">
        <v>80</v>
      </c>
      <c r="H16" s="3">
        <v>75</v>
      </c>
      <c r="I16" s="3">
        <v>70</v>
      </c>
      <c r="J16" s="3">
        <v>70</v>
      </c>
      <c r="K16" s="3">
        <v>101</v>
      </c>
      <c r="L16" s="3">
        <v>1</v>
      </c>
      <c r="M16" s="3" t="s">
        <v>453</v>
      </c>
    </row>
    <row r="17" spans="1:13" x14ac:dyDescent="0.3">
      <c r="A17" s="3">
        <v>16</v>
      </c>
      <c r="B17" s="3" t="s">
        <v>34</v>
      </c>
      <c r="C17" s="3" t="s">
        <v>31</v>
      </c>
      <c r="D17" s="3" t="s">
        <v>20</v>
      </c>
      <c r="E17" s="3">
        <v>579</v>
      </c>
      <c r="F17" s="3">
        <v>83</v>
      </c>
      <c r="G17" s="3">
        <v>80</v>
      </c>
      <c r="H17" s="3">
        <v>80</v>
      </c>
      <c r="I17" s="3">
        <v>135</v>
      </c>
      <c r="J17" s="3">
        <v>80</v>
      </c>
      <c r="K17" s="3">
        <v>121</v>
      </c>
      <c r="L17" s="3">
        <v>1</v>
      </c>
      <c r="M17" s="3" t="s">
        <v>453</v>
      </c>
    </row>
    <row r="18" spans="1:13" x14ac:dyDescent="0.3">
      <c r="A18" s="3">
        <v>17</v>
      </c>
      <c r="B18" s="3" t="s">
        <v>35</v>
      </c>
      <c r="C18" s="3" t="s">
        <v>31</v>
      </c>
      <c r="D18" s="3" t="s">
        <v>20</v>
      </c>
      <c r="E18" s="3">
        <v>262</v>
      </c>
      <c r="F18" s="3">
        <v>40</v>
      </c>
      <c r="G18" s="3">
        <v>60</v>
      </c>
      <c r="H18" s="3">
        <v>30</v>
      </c>
      <c r="I18" s="3">
        <v>31</v>
      </c>
      <c r="J18" s="3">
        <v>31</v>
      </c>
      <c r="K18" s="3">
        <v>70</v>
      </c>
      <c r="L18" s="3">
        <v>1</v>
      </c>
      <c r="M18" s="3" t="s">
        <v>453</v>
      </c>
    </row>
    <row r="19" spans="1:13" x14ac:dyDescent="0.3">
      <c r="A19" s="3">
        <v>18</v>
      </c>
      <c r="B19" s="3" t="s">
        <v>36</v>
      </c>
      <c r="C19" s="3" t="s">
        <v>31</v>
      </c>
      <c r="D19" s="3" t="s">
        <v>20</v>
      </c>
      <c r="E19" s="3">
        <v>442</v>
      </c>
      <c r="F19" s="3">
        <v>65</v>
      </c>
      <c r="G19" s="3">
        <v>90</v>
      </c>
      <c r="H19" s="3">
        <v>65</v>
      </c>
      <c r="I19" s="3">
        <v>61</v>
      </c>
      <c r="J19" s="3">
        <v>61</v>
      </c>
      <c r="K19" s="3">
        <v>100</v>
      </c>
      <c r="L19" s="3">
        <v>1</v>
      </c>
      <c r="M19" s="3" t="s">
        <v>453</v>
      </c>
    </row>
    <row r="20" spans="1:13" x14ac:dyDescent="0.3">
      <c r="A20" s="3">
        <v>19</v>
      </c>
      <c r="B20" s="3" t="s">
        <v>37</v>
      </c>
      <c r="C20" s="3" t="s">
        <v>14</v>
      </c>
      <c r="D20" s="3" t="s">
        <v>38</v>
      </c>
      <c r="E20" s="3">
        <v>505</v>
      </c>
      <c r="F20" s="3">
        <v>90</v>
      </c>
      <c r="G20" s="3">
        <v>92</v>
      </c>
      <c r="H20" s="3">
        <v>87</v>
      </c>
      <c r="I20" s="3">
        <v>75</v>
      </c>
      <c r="J20" s="3">
        <v>85</v>
      </c>
      <c r="K20" s="3">
        <v>76</v>
      </c>
      <c r="L20" s="3">
        <v>1</v>
      </c>
      <c r="M20" s="3" t="s">
        <v>453</v>
      </c>
    </row>
    <row r="21" spans="1:13" x14ac:dyDescent="0.3">
      <c r="A21" s="3">
        <v>20</v>
      </c>
      <c r="B21" s="3" t="s">
        <v>39</v>
      </c>
      <c r="C21" s="3" t="s">
        <v>14</v>
      </c>
      <c r="D21" s="3" t="s">
        <v>38</v>
      </c>
      <c r="E21" s="3">
        <v>505</v>
      </c>
      <c r="F21" s="3">
        <v>81</v>
      </c>
      <c r="G21" s="3">
        <v>102</v>
      </c>
      <c r="H21" s="3">
        <v>77</v>
      </c>
      <c r="I21" s="3">
        <v>85</v>
      </c>
      <c r="J21" s="3">
        <v>75</v>
      </c>
      <c r="K21" s="3">
        <v>85</v>
      </c>
      <c r="L21" s="3">
        <v>1</v>
      </c>
      <c r="M21" s="3" t="s">
        <v>453</v>
      </c>
    </row>
    <row r="22" spans="1:13" x14ac:dyDescent="0.3">
      <c r="A22" s="3">
        <v>21</v>
      </c>
      <c r="B22" s="3" t="s">
        <v>40</v>
      </c>
      <c r="C22" s="3" t="s">
        <v>31</v>
      </c>
      <c r="D22" s="3" t="s">
        <v>41</v>
      </c>
      <c r="E22" s="3">
        <v>270</v>
      </c>
      <c r="F22" s="3">
        <v>115</v>
      </c>
      <c r="G22" s="3">
        <v>45</v>
      </c>
      <c r="H22" s="3">
        <v>20</v>
      </c>
      <c r="I22" s="3">
        <v>45</v>
      </c>
      <c r="J22" s="3">
        <v>25</v>
      </c>
      <c r="K22" s="3">
        <v>20</v>
      </c>
      <c r="L22" s="3">
        <v>1</v>
      </c>
      <c r="M22" s="3" t="s">
        <v>453</v>
      </c>
    </row>
    <row r="23" spans="1:13" x14ac:dyDescent="0.3">
      <c r="A23" s="3">
        <v>22</v>
      </c>
      <c r="B23" s="3" t="s">
        <v>42</v>
      </c>
      <c r="C23" s="3" t="s">
        <v>31</v>
      </c>
      <c r="D23" s="3" t="s">
        <v>41</v>
      </c>
      <c r="E23" s="3">
        <v>435</v>
      </c>
      <c r="F23" s="3">
        <v>140</v>
      </c>
      <c r="G23" s="3">
        <v>70</v>
      </c>
      <c r="H23" s="3">
        <v>45</v>
      </c>
      <c r="I23" s="3">
        <v>85</v>
      </c>
      <c r="J23" s="3">
        <v>50</v>
      </c>
      <c r="K23" s="3">
        <v>45</v>
      </c>
      <c r="L23" s="3">
        <v>1</v>
      </c>
      <c r="M23" s="3" t="s">
        <v>453</v>
      </c>
    </row>
    <row r="24" spans="1:13" x14ac:dyDescent="0.3">
      <c r="A24" s="3">
        <v>23</v>
      </c>
      <c r="B24" s="3" t="s">
        <v>43</v>
      </c>
      <c r="C24" s="3" t="s">
        <v>14</v>
      </c>
      <c r="D24" s="3" t="s">
        <v>20</v>
      </c>
      <c r="E24" s="3">
        <v>245</v>
      </c>
      <c r="F24" s="3">
        <v>40</v>
      </c>
      <c r="G24" s="3">
        <v>45</v>
      </c>
      <c r="H24" s="3">
        <v>35</v>
      </c>
      <c r="I24" s="3">
        <v>30</v>
      </c>
      <c r="J24" s="3">
        <v>40</v>
      </c>
      <c r="K24" s="3">
        <v>55</v>
      </c>
      <c r="L24" s="3">
        <v>1</v>
      </c>
      <c r="M24" s="3" t="s">
        <v>453</v>
      </c>
    </row>
    <row r="25" spans="1:13" x14ac:dyDescent="0.3">
      <c r="A25" s="3">
        <v>24</v>
      </c>
      <c r="B25" s="3" t="s">
        <v>44</v>
      </c>
      <c r="C25" s="3" t="s">
        <v>14</v>
      </c>
      <c r="D25" s="3" t="s">
        <v>20</v>
      </c>
      <c r="E25" s="3">
        <v>455</v>
      </c>
      <c r="F25" s="3">
        <v>75</v>
      </c>
      <c r="G25" s="3">
        <v>80</v>
      </c>
      <c r="H25" s="3">
        <v>70</v>
      </c>
      <c r="I25" s="3">
        <v>65</v>
      </c>
      <c r="J25" s="3">
        <v>75</v>
      </c>
      <c r="K25" s="3">
        <v>90</v>
      </c>
      <c r="L25" s="3">
        <v>1</v>
      </c>
      <c r="M25" s="3" t="s">
        <v>453</v>
      </c>
    </row>
    <row r="26" spans="1:13" x14ac:dyDescent="0.3">
      <c r="A26" s="3">
        <v>25</v>
      </c>
      <c r="B26" s="3" t="s">
        <v>45</v>
      </c>
      <c r="C26" s="3" t="s">
        <v>13</v>
      </c>
      <c r="D26" s="3" t="s">
        <v>14</v>
      </c>
      <c r="E26" s="3">
        <v>320</v>
      </c>
      <c r="F26" s="3">
        <v>45</v>
      </c>
      <c r="G26" s="3">
        <v>50</v>
      </c>
      <c r="H26" s="3">
        <v>55</v>
      </c>
      <c r="I26" s="3">
        <v>75</v>
      </c>
      <c r="J26" s="3">
        <v>65</v>
      </c>
      <c r="K26" s="3">
        <v>30</v>
      </c>
      <c r="L26" s="3">
        <v>1</v>
      </c>
      <c r="M26" s="3" t="s">
        <v>453</v>
      </c>
    </row>
    <row r="27" spans="1:13" x14ac:dyDescent="0.3">
      <c r="A27" s="3">
        <v>26</v>
      </c>
      <c r="B27" s="3" t="s">
        <v>46</v>
      </c>
      <c r="C27" s="3" t="s">
        <v>13</v>
      </c>
      <c r="D27" s="3" t="s">
        <v>14</v>
      </c>
      <c r="E27" s="3">
        <v>395</v>
      </c>
      <c r="F27" s="3">
        <v>60</v>
      </c>
      <c r="G27" s="3">
        <v>65</v>
      </c>
      <c r="H27" s="3">
        <v>70</v>
      </c>
      <c r="I27" s="3">
        <v>85</v>
      </c>
      <c r="J27" s="3">
        <v>75</v>
      </c>
      <c r="K27" s="3">
        <v>40</v>
      </c>
      <c r="L27" s="3">
        <v>1</v>
      </c>
      <c r="M27" s="3" t="s">
        <v>453</v>
      </c>
    </row>
    <row r="28" spans="1:13" x14ac:dyDescent="0.3">
      <c r="A28" s="3">
        <v>27</v>
      </c>
      <c r="B28" s="3" t="s">
        <v>47</v>
      </c>
      <c r="C28" s="3" t="s">
        <v>13</v>
      </c>
      <c r="D28" s="3" t="s">
        <v>14</v>
      </c>
      <c r="E28" s="3">
        <v>490</v>
      </c>
      <c r="F28" s="3">
        <v>75</v>
      </c>
      <c r="G28" s="3">
        <v>80</v>
      </c>
      <c r="H28" s="3">
        <v>85</v>
      </c>
      <c r="I28" s="3">
        <v>110</v>
      </c>
      <c r="J28" s="3">
        <v>90</v>
      </c>
      <c r="K28" s="3">
        <v>50</v>
      </c>
      <c r="L28" s="3">
        <v>1</v>
      </c>
      <c r="M28" s="3" t="s">
        <v>453</v>
      </c>
    </row>
    <row r="29" spans="1:13" x14ac:dyDescent="0.3">
      <c r="A29" s="3">
        <v>28</v>
      </c>
      <c r="B29" s="3" t="s">
        <v>48</v>
      </c>
      <c r="C29" s="3" t="s">
        <v>25</v>
      </c>
      <c r="D29" s="3" t="s">
        <v>13</v>
      </c>
      <c r="E29" s="3">
        <v>285</v>
      </c>
      <c r="F29" s="3">
        <v>35</v>
      </c>
      <c r="G29" s="3">
        <v>70</v>
      </c>
      <c r="H29" s="3">
        <v>55</v>
      </c>
      <c r="I29" s="3">
        <v>45</v>
      </c>
      <c r="J29" s="3">
        <v>55</v>
      </c>
      <c r="K29" s="3">
        <v>25</v>
      </c>
      <c r="L29" s="3">
        <v>1</v>
      </c>
      <c r="M29" s="3" t="s">
        <v>453</v>
      </c>
    </row>
    <row r="30" spans="1:13" x14ac:dyDescent="0.3">
      <c r="A30" s="3">
        <v>29</v>
      </c>
      <c r="B30" s="3" t="s">
        <v>49</v>
      </c>
      <c r="C30" s="3" t="s">
        <v>25</v>
      </c>
      <c r="D30" s="3" t="s">
        <v>13</v>
      </c>
      <c r="E30" s="3">
        <v>405</v>
      </c>
      <c r="F30" s="3">
        <v>60</v>
      </c>
      <c r="G30" s="3">
        <v>95</v>
      </c>
      <c r="H30" s="3">
        <v>80</v>
      </c>
      <c r="I30" s="3">
        <v>60</v>
      </c>
      <c r="J30" s="3">
        <v>80</v>
      </c>
      <c r="K30" s="3">
        <v>30</v>
      </c>
      <c r="L30" s="3">
        <v>1</v>
      </c>
      <c r="M30" s="3" t="s">
        <v>453</v>
      </c>
    </row>
    <row r="31" spans="1:13" x14ac:dyDescent="0.3">
      <c r="A31" s="3">
        <v>30</v>
      </c>
      <c r="B31" s="3" t="s">
        <v>50</v>
      </c>
      <c r="C31" s="3" t="s">
        <v>25</v>
      </c>
      <c r="D31" s="3" t="s">
        <v>14</v>
      </c>
      <c r="E31" s="3">
        <v>305</v>
      </c>
      <c r="F31" s="3">
        <v>60</v>
      </c>
      <c r="G31" s="3">
        <v>55</v>
      </c>
      <c r="H31" s="3">
        <v>50</v>
      </c>
      <c r="I31" s="3">
        <v>40</v>
      </c>
      <c r="J31" s="3">
        <v>55</v>
      </c>
      <c r="K31" s="3">
        <v>45</v>
      </c>
      <c r="L31" s="3">
        <v>1</v>
      </c>
      <c r="M31" s="3" t="s">
        <v>453</v>
      </c>
    </row>
    <row r="32" spans="1:13" x14ac:dyDescent="0.3">
      <c r="A32" s="3">
        <v>31</v>
      </c>
      <c r="B32" s="3" t="s">
        <v>51</v>
      </c>
      <c r="C32" s="3" t="s">
        <v>25</v>
      </c>
      <c r="D32" s="3" t="s">
        <v>14</v>
      </c>
      <c r="E32" s="3">
        <v>450</v>
      </c>
      <c r="F32" s="3">
        <v>70</v>
      </c>
      <c r="G32" s="3">
        <v>65</v>
      </c>
      <c r="H32" s="3">
        <v>60</v>
      </c>
      <c r="I32" s="3">
        <v>90</v>
      </c>
      <c r="J32" s="3">
        <v>75</v>
      </c>
      <c r="K32" s="3">
        <v>90</v>
      </c>
      <c r="L32" s="3">
        <v>1</v>
      </c>
      <c r="M32" s="3" t="s">
        <v>453</v>
      </c>
    </row>
    <row r="33" spans="1:13" x14ac:dyDescent="0.3">
      <c r="A33" s="3">
        <v>32</v>
      </c>
      <c r="B33" s="3" t="s">
        <v>52</v>
      </c>
      <c r="C33" s="3" t="s">
        <v>53</v>
      </c>
      <c r="D33" s="3" t="s">
        <v>54</v>
      </c>
      <c r="E33" s="3">
        <v>510</v>
      </c>
      <c r="F33" s="3">
        <v>90</v>
      </c>
      <c r="G33" s="3">
        <v>95</v>
      </c>
      <c r="H33" s="3">
        <v>95</v>
      </c>
      <c r="I33" s="3">
        <v>70</v>
      </c>
      <c r="J33" s="3">
        <v>90</v>
      </c>
      <c r="K33" s="3">
        <v>70</v>
      </c>
      <c r="L33" s="3">
        <v>1</v>
      </c>
      <c r="M33" s="3" t="s">
        <v>453</v>
      </c>
    </row>
    <row r="34" spans="1:13" x14ac:dyDescent="0.3">
      <c r="A34" s="3">
        <v>33</v>
      </c>
      <c r="B34" s="3" t="s">
        <v>55</v>
      </c>
      <c r="C34" s="3" t="s">
        <v>13</v>
      </c>
      <c r="D34" s="3" t="s">
        <v>14</v>
      </c>
      <c r="E34" s="3">
        <v>300</v>
      </c>
      <c r="F34" s="3">
        <v>50</v>
      </c>
      <c r="G34" s="3">
        <v>75</v>
      </c>
      <c r="H34" s="3">
        <v>35</v>
      </c>
      <c r="I34" s="3">
        <v>70</v>
      </c>
      <c r="J34" s="3">
        <v>30</v>
      </c>
      <c r="K34" s="3">
        <v>40</v>
      </c>
      <c r="L34" s="3">
        <v>1</v>
      </c>
      <c r="M34" s="3" t="s">
        <v>453</v>
      </c>
    </row>
    <row r="35" spans="1:13" x14ac:dyDescent="0.3">
      <c r="A35" s="3">
        <v>34</v>
      </c>
      <c r="B35" s="3" t="s">
        <v>56</v>
      </c>
      <c r="C35" s="3" t="s">
        <v>13</v>
      </c>
      <c r="D35" s="3" t="s">
        <v>14</v>
      </c>
      <c r="E35" s="3">
        <v>390</v>
      </c>
      <c r="F35" s="3">
        <v>65</v>
      </c>
      <c r="G35" s="3">
        <v>90</v>
      </c>
      <c r="H35" s="3">
        <v>50</v>
      </c>
      <c r="I35" s="3">
        <v>85</v>
      </c>
      <c r="J35" s="3">
        <v>45</v>
      </c>
      <c r="K35" s="3">
        <v>55</v>
      </c>
      <c r="L35" s="3">
        <v>1</v>
      </c>
      <c r="M35" s="3" t="s">
        <v>453</v>
      </c>
    </row>
    <row r="36" spans="1:13" x14ac:dyDescent="0.3">
      <c r="A36" s="3">
        <v>35</v>
      </c>
      <c r="B36" s="3" t="s">
        <v>57</v>
      </c>
      <c r="C36" s="3" t="s">
        <v>13</v>
      </c>
      <c r="D36" s="3" t="s">
        <v>14</v>
      </c>
      <c r="E36" s="3">
        <v>490</v>
      </c>
      <c r="F36" s="3">
        <v>80</v>
      </c>
      <c r="G36" s="3">
        <v>105</v>
      </c>
      <c r="H36" s="3">
        <v>65</v>
      </c>
      <c r="I36" s="3">
        <v>100</v>
      </c>
      <c r="J36" s="3">
        <v>70</v>
      </c>
      <c r="K36" s="3">
        <v>70</v>
      </c>
      <c r="L36" s="3">
        <v>1</v>
      </c>
      <c r="M36" s="3" t="s">
        <v>453</v>
      </c>
    </row>
    <row r="37" spans="1:13" x14ac:dyDescent="0.3">
      <c r="A37" s="3">
        <v>36</v>
      </c>
      <c r="B37" s="3" t="s">
        <v>58</v>
      </c>
      <c r="C37" s="3" t="s">
        <v>53</v>
      </c>
      <c r="D37" s="3" t="s">
        <v>14</v>
      </c>
      <c r="E37" s="3">
        <v>335</v>
      </c>
      <c r="F37" s="3">
        <v>40</v>
      </c>
      <c r="G37" s="3">
        <v>40</v>
      </c>
      <c r="H37" s="3">
        <v>35</v>
      </c>
      <c r="I37" s="3">
        <v>50</v>
      </c>
      <c r="J37" s="3">
        <v>100</v>
      </c>
      <c r="K37" s="3">
        <v>70</v>
      </c>
      <c r="L37" s="3">
        <v>1</v>
      </c>
      <c r="M37" s="3" t="s">
        <v>453</v>
      </c>
    </row>
    <row r="38" spans="1:13" x14ac:dyDescent="0.3">
      <c r="A38" s="3">
        <v>37</v>
      </c>
      <c r="B38" s="3" t="s">
        <v>59</v>
      </c>
      <c r="C38" s="3" t="s">
        <v>53</v>
      </c>
      <c r="D38" s="3" t="s">
        <v>14</v>
      </c>
      <c r="E38" s="3">
        <v>515</v>
      </c>
      <c r="F38" s="3">
        <v>80</v>
      </c>
      <c r="G38" s="3">
        <v>70</v>
      </c>
      <c r="H38" s="3">
        <v>65</v>
      </c>
      <c r="I38" s="3">
        <v>80</v>
      </c>
      <c r="J38" s="3">
        <v>120</v>
      </c>
      <c r="K38" s="3">
        <v>100</v>
      </c>
      <c r="L38" s="3">
        <v>1</v>
      </c>
      <c r="M38" s="3" t="s">
        <v>453</v>
      </c>
    </row>
    <row r="39" spans="1:13" x14ac:dyDescent="0.3">
      <c r="A39" s="3">
        <v>38</v>
      </c>
      <c r="B39" s="3" t="s">
        <v>60</v>
      </c>
      <c r="C39" s="3" t="s">
        <v>61</v>
      </c>
      <c r="D39" s="3" t="s">
        <v>38</v>
      </c>
      <c r="E39" s="3">
        <v>300</v>
      </c>
      <c r="F39" s="3">
        <v>40</v>
      </c>
      <c r="G39" s="3">
        <v>80</v>
      </c>
      <c r="H39" s="3">
        <v>100</v>
      </c>
      <c r="I39" s="3">
        <v>30</v>
      </c>
      <c r="J39" s="3">
        <v>30</v>
      </c>
      <c r="K39" s="3">
        <v>20</v>
      </c>
      <c r="L39" s="3">
        <v>1</v>
      </c>
      <c r="M39" s="3" t="s">
        <v>453</v>
      </c>
    </row>
    <row r="40" spans="1:13" x14ac:dyDescent="0.3">
      <c r="A40" s="3">
        <v>39</v>
      </c>
      <c r="B40" s="3" t="s">
        <v>62</v>
      </c>
      <c r="C40" s="3" t="s">
        <v>61</v>
      </c>
      <c r="D40" s="3" t="s">
        <v>38</v>
      </c>
      <c r="E40" s="3">
        <v>390</v>
      </c>
      <c r="F40" s="3">
        <v>55</v>
      </c>
      <c r="G40" s="3">
        <v>95</v>
      </c>
      <c r="H40" s="3">
        <v>115</v>
      </c>
      <c r="I40" s="3">
        <v>45</v>
      </c>
      <c r="J40" s="3">
        <v>45</v>
      </c>
      <c r="K40" s="3">
        <v>35</v>
      </c>
      <c r="L40" s="3">
        <v>1</v>
      </c>
      <c r="M40" s="3" t="s">
        <v>453</v>
      </c>
    </row>
    <row r="41" spans="1:13" x14ac:dyDescent="0.3">
      <c r="A41" s="3">
        <v>40</v>
      </c>
      <c r="B41" s="3" t="s">
        <v>63</v>
      </c>
      <c r="C41" s="3" t="s">
        <v>61</v>
      </c>
      <c r="D41" s="3" t="s">
        <v>38</v>
      </c>
      <c r="E41" s="3">
        <v>495</v>
      </c>
      <c r="F41" s="3">
        <v>80</v>
      </c>
      <c r="G41" s="3">
        <v>120</v>
      </c>
      <c r="H41" s="3">
        <v>130</v>
      </c>
      <c r="I41" s="3">
        <v>55</v>
      </c>
      <c r="J41" s="3">
        <v>65</v>
      </c>
      <c r="K41" s="3">
        <v>45</v>
      </c>
      <c r="L41" s="3">
        <v>1</v>
      </c>
      <c r="M41" s="3" t="s">
        <v>453</v>
      </c>
    </row>
    <row r="42" spans="1:13" x14ac:dyDescent="0.3">
      <c r="A42" s="3">
        <v>41</v>
      </c>
      <c r="B42" s="3" t="s">
        <v>64</v>
      </c>
      <c r="C42" s="3" t="s">
        <v>53</v>
      </c>
      <c r="D42" s="3" t="s">
        <v>65</v>
      </c>
      <c r="E42" s="3">
        <v>315</v>
      </c>
      <c r="F42" s="3">
        <v>90</v>
      </c>
      <c r="G42" s="3">
        <v>65</v>
      </c>
      <c r="H42" s="3">
        <v>65</v>
      </c>
      <c r="I42" s="3">
        <v>40</v>
      </c>
      <c r="J42" s="3">
        <v>40</v>
      </c>
      <c r="K42" s="3">
        <v>15</v>
      </c>
      <c r="L42" s="3">
        <v>1</v>
      </c>
      <c r="M42" s="3" t="s">
        <v>453</v>
      </c>
    </row>
    <row r="43" spans="1:13" x14ac:dyDescent="0.3">
      <c r="A43" s="3">
        <v>42</v>
      </c>
      <c r="B43" s="3" t="s">
        <v>66</v>
      </c>
      <c r="C43" s="3" t="s">
        <v>53</v>
      </c>
      <c r="D43" s="3" t="s">
        <v>65</v>
      </c>
      <c r="E43" s="3">
        <v>490</v>
      </c>
      <c r="F43" s="3">
        <v>95</v>
      </c>
      <c r="G43" s="3">
        <v>75</v>
      </c>
      <c r="H43" s="3">
        <v>110</v>
      </c>
      <c r="I43" s="3">
        <v>100</v>
      </c>
      <c r="J43" s="3">
        <v>80</v>
      </c>
      <c r="K43" s="3">
        <v>30</v>
      </c>
      <c r="L43" s="3">
        <v>1</v>
      </c>
      <c r="M43" s="3" t="s">
        <v>453</v>
      </c>
    </row>
    <row r="44" spans="1:13" x14ac:dyDescent="0.3">
      <c r="A44" s="3">
        <v>43</v>
      </c>
      <c r="B44" s="3" t="s">
        <v>67</v>
      </c>
      <c r="C44" s="3" t="s">
        <v>53</v>
      </c>
      <c r="D44" s="3" t="s">
        <v>65</v>
      </c>
      <c r="E44" s="3">
        <v>590</v>
      </c>
      <c r="F44" s="3">
        <v>95</v>
      </c>
      <c r="G44" s="3">
        <v>75</v>
      </c>
      <c r="H44" s="3">
        <v>180</v>
      </c>
      <c r="I44" s="3">
        <v>130</v>
      </c>
      <c r="J44" s="3">
        <v>80</v>
      </c>
      <c r="K44" s="3">
        <v>30</v>
      </c>
      <c r="L44" s="3">
        <v>1</v>
      </c>
      <c r="M44" s="3" t="s">
        <v>453</v>
      </c>
    </row>
    <row r="45" spans="1:13" x14ac:dyDescent="0.3">
      <c r="A45" s="3">
        <v>44</v>
      </c>
      <c r="B45" s="3" t="s">
        <v>68</v>
      </c>
      <c r="C45" s="3" t="s">
        <v>69</v>
      </c>
      <c r="D45" s="3" t="s">
        <v>70</v>
      </c>
      <c r="E45" s="3">
        <v>325</v>
      </c>
      <c r="F45" s="3">
        <v>25</v>
      </c>
      <c r="G45" s="3">
        <v>35</v>
      </c>
      <c r="H45" s="3">
        <v>70</v>
      </c>
      <c r="I45" s="3">
        <v>95</v>
      </c>
      <c r="J45" s="3">
        <v>55</v>
      </c>
      <c r="K45" s="3">
        <v>45</v>
      </c>
      <c r="L45" s="3">
        <v>1</v>
      </c>
      <c r="M45" s="3" t="s">
        <v>453</v>
      </c>
    </row>
    <row r="46" spans="1:13" x14ac:dyDescent="0.3">
      <c r="A46" s="3">
        <v>45</v>
      </c>
      <c r="B46" s="3" t="s">
        <v>71</v>
      </c>
      <c r="C46" s="3" t="s">
        <v>69</v>
      </c>
      <c r="D46" s="3" t="s">
        <v>70</v>
      </c>
      <c r="E46" s="3">
        <v>465</v>
      </c>
      <c r="F46" s="3">
        <v>50</v>
      </c>
      <c r="G46" s="3">
        <v>60</v>
      </c>
      <c r="H46" s="3">
        <v>95</v>
      </c>
      <c r="I46" s="3">
        <v>120</v>
      </c>
      <c r="J46" s="3">
        <v>70</v>
      </c>
      <c r="K46" s="3">
        <v>70</v>
      </c>
      <c r="L46" s="3">
        <v>1</v>
      </c>
      <c r="M46" s="3" t="s">
        <v>453</v>
      </c>
    </row>
    <row r="47" spans="1:13" x14ac:dyDescent="0.3">
      <c r="A47" s="3">
        <v>46</v>
      </c>
      <c r="B47" s="3" t="s">
        <v>72</v>
      </c>
      <c r="C47" s="3" t="s">
        <v>31</v>
      </c>
      <c r="D47" s="3" t="s">
        <v>20</v>
      </c>
      <c r="E47" s="3">
        <v>352</v>
      </c>
      <c r="F47" s="3">
        <v>52</v>
      </c>
      <c r="G47" s="3">
        <v>65</v>
      </c>
      <c r="H47" s="3">
        <v>55</v>
      </c>
      <c r="I47" s="3">
        <v>58</v>
      </c>
      <c r="J47" s="3">
        <v>62</v>
      </c>
      <c r="K47" s="3">
        <v>60</v>
      </c>
      <c r="L47" s="3">
        <v>1</v>
      </c>
      <c r="M47" s="3" t="s">
        <v>453</v>
      </c>
    </row>
    <row r="48" spans="1:13" x14ac:dyDescent="0.3">
      <c r="A48" s="3">
        <v>47</v>
      </c>
      <c r="B48" s="3" t="s">
        <v>73</v>
      </c>
      <c r="C48" s="3" t="s">
        <v>31</v>
      </c>
      <c r="D48" s="3" t="s">
        <v>20</v>
      </c>
      <c r="E48" s="3">
        <v>310</v>
      </c>
      <c r="F48" s="3">
        <v>35</v>
      </c>
      <c r="G48" s="3">
        <v>85</v>
      </c>
      <c r="H48" s="3">
        <v>45</v>
      </c>
      <c r="I48" s="3">
        <v>35</v>
      </c>
      <c r="J48" s="3">
        <v>35</v>
      </c>
      <c r="K48" s="3">
        <v>75</v>
      </c>
      <c r="L48" s="3">
        <v>1</v>
      </c>
      <c r="M48" s="3" t="s">
        <v>453</v>
      </c>
    </row>
    <row r="49" spans="1:13" x14ac:dyDescent="0.3">
      <c r="A49" s="3">
        <v>48</v>
      </c>
      <c r="B49" s="3" t="s">
        <v>74</v>
      </c>
      <c r="C49" s="3" t="s">
        <v>31</v>
      </c>
      <c r="D49" s="3" t="s">
        <v>20</v>
      </c>
      <c r="E49" s="3">
        <v>460</v>
      </c>
      <c r="F49" s="3">
        <v>60</v>
      </c>
      <c r="G49" s="3">
        <v>110</v>
      </c>
      <c r="H49" s="3">
        <v>70</v>
      </c>
      <c r="I49" s="3">
        <v>60</v>
      </c>
      <c r="J49" s="3">
        <v>60</v>
      </c>
      <c r="K49" s="3">
        <v>100</v>
      </c>
      <c r="L49" s="3">
        <v>1</v>
      </c>
      <c r="M49" s="3" t="s">
        <v>453</v>
      </c>
    </row>
    <row r="50" spans="1:13" x14ac:dyDescent="0.3">
      <c r="A50" s="3">
        <v>49</v>
      </c>
      <c r="B50" s="3" t="s">
        <v>75</v>
      </c>
      <c r="C50" s="3" t="s">
        <v>53</v>
      </c>
      <c r="D50" s="3" t="s">
        <v>76</v>
      </c>
      <c r="E50" s="3">
        <v>475</v>
      </c>
      <c r="F50" s="3">
        <v>90</v>
      </c>
      <c r="G50" s="3">
        <v>70</v>
      </c>
      <c r="H50" s="3">
        <v>80</v>
      </c>
      <c r="I50" s="3">
        <v>70</v>
      </c>
      <c r="J50" s="3">
        <v>95</v>
      </c>
      <c r="K50" s="3">
        <v>70</v>
      </c>
      <c r="L50" s="3">
        <v>1</v>
      </c>
      <c r="M50" s="3" t="s">
        <v>453</v>
      </c>
    </row>
    <row r="51" spans="1:13" x14ac:dyDescent="0.3">
      <c r="A51" s="3">
        <v>50</v>
      </c>
      <c r="B51" s="3" t="s">
        <v>77</v>
      </c>
      <c r="C51" s="3" t="s">
        <v>53</v>
      </c>
      <c r="D51" s="3" t="s">
        <v>76</v>
      </c>
      <c r="E51" s="3">
        <v>525</v>
      </c>
      <c r="F51" s="3">
        <v>50</v>
      </c>
      <c r="G51" s="3">
        <v>95</v>
      </c>
      <c r="H51" s="3">
        <v>180</v>
      </c>
      <c r="I51" s="3">
        <v>85</v>
      </c>
      <c r="J51" s="3">
        <v>45</v>
      </c>
      <c r="K51" s="3">
        <v>70</v>
      </c>
      <c r="L51" s="3">
        <v>1</v>
      </c>
      <c r="M51" s="3" t="s">
        <v>453</v>
      </c>
    </row>
    <row r="52" spans="1:13" x14ac:dyDescent="0.3">
      <c r="A52" s="3">
        <v>51</v>
      </c>
      <c r="B52" s="3" t="s">
        <v>78</v>
      </c>
      <c r="C52" s="3" t="s">
        <v>79</v>
      </c>
      <c r="D52" s="3" t="s">
        <v>14</v>
      </c>
      <c r="E52" s="3">
        <v>310</v>
      </c>
      <c r="F52" s="3">
        <v>30</v>
      </c>
      <c r="G52" s="3">
        <v>35</v>
      </c>
      <c r="H52" s="3">
        <v>30</v>
      </c>
      <c r="I52" s="3">
        <v>100</v>
      </c>
      <c r="J52" s="3">
        <v>35</v>
      </c>
      <c r="K52" s="3">
        <v>80</v>
      </c>
      <c r="L52" s="3">
        <v>1</v>
      </c>
      <c r="M52" s="3" t="s">
        <v>453</v>
      </c>
    </row>
    <row r="53" spans="1:13" x14ac:dyDescent="0.3">
      <c r="A53" s="3">
        <v>52</v>
      </c>
      <c r="B53" s="3" t="s">
        <v>80</v>
      </c>
      <c r="C53" s="3" t="s">
        <v>79</v>
      </c>
      <c r="D53" s="3" t="s">
        <v>14</v>
      </c>
      <c r="E53" s="3">
        <v>405</v>
      </c>
      <c r="F53" s="3">
        <v>45</v>
      </c>
      <c r="G53" s="3">
        <v>50</v>
      </c>
      <c r="H53" s="3">
        <v>45</v>
      </c>
      <c r="I53" s="3">
        <v>115</v>
      </c>
      <c r="J53" s="3">
        <v>55</v>
      </c>
      <c r="K53" s="3">
        <v>95</v>
      </c>
      <c r="L53" s="3">
        <v>1</v>
      </c>
      <c r="M53" s="3" t="s">
        <v>453</v>
      </c>
    </row>
    <row r="54" spans="1:13" x14ac:dyDescent="0.3">
      <c r="A54" s="3">
        <v>53</v>
      </c>
      <c r="B54" s="3" t="s">
        <v>81</v>
      </c>
      <c r="C54" s="3" t="s">
        <v>79</v>
      </c>
      <c r="D54" s="3" t="s">
        <v>14</v>
      </c>
      <c r="E54" s="3">
        <v>500</v>
      </c>
      <c r="F54" s="3">
        <v>60</v>
      </c>
      <c r="G54" s="3">
        <v>65</v>
      </c>
      <c r="H54" s="3">
        <v>60</v>
      </c>
      <c r="I54" s="3">
        <v>130</v>
      </c>
      <c r="J54" s="3">
        <v>75</v>
      </c>
      <c r="K54" s="3">
        <v>110</v>
      </c>
      <c r="L54" s="3">
        <v>1</v>
      </c>
      <c r="M54" s="3" t="s">
        <v>453</v>
      </c>
    </row>
    <row r="55" spans="1:13" x14ac:dyDescent="0.3">
      <c r="A55" s="3">
        <v>54</v>
      </c>
      <c r="B55" s="3" t="s">
        <v>82</v>
      </c>
      <c r="C55" s="3" t="s">
        <v>79</v>
      </c>
      <c r="D55" s="3" t="s">
        <v>14</v>
      </c>
      <c r="E55" s="3">
        <v>600</v>
      </c>
      <c r="F55" s="3">
        <v>60</v>
      </c>
      <c r="G55" s="3">
        <v>65</v>
      </c>
      <c r="H55" s="3">
        <v>80</v>
      </c>
      <c r="I55" s="3">
        <v>170</v>
      </c>
      <c r="J55" s="3">
        <v>95</v>
      </c>
      <c r="K55" s="3">
        <v>130</v>
      </c>
      <c r="L55" s="3">
        <v>1</v>
      </c>
      <c r="M55" s="3" t="s">
        <v>453</v>
      </c>
    </row>
    <row r="56" spans="1:13" x14ac:dyDescent="0.3">
      <c r="A56" s="3">
        <v>55</v>
      </c>
      <c r="B56" s="3" t="s">
        <v>83</v>
      </c>
      <c r="C56" s="3" t="s">
        <v>61</v>
      </c>
      <c r="D56" s="3" t="s">
        <v>38</v>
      </c>
      <c r="E56" s="3">
        <v>385</v>
      </c>
      <c r="F56" s="3">
        <v>35</v>
      </c>
      <c r="G56" s="3">
        <v>45</v>
      </c>
      <c r="H56" s="3">
        <v>160</v>
      </c>
      <c r="I56" s="3">
        <v>30</v>
      </c>
      <c r="J56" s="3">
        <v>45</v>
      </c>
      <c r="K56" s="3">
        <v>70</v>
      </c>
      <c r="L56" s="3">
        <v>1</v>
      </c>
      <c r="M56" s="3" t="s">
        <v>453</v>
      </c>
    </row>
    <row r="57" spans="1:13" x14ac:dyDescent="0.3">
      <c r="A57" s="3">
        <v>56</v>
      </c>
      <c r="B57" s="3" t="s">
        <v>84</v>
      </c>
      <c r="C57" s="3" t="s">
        <v>13</v>
      </c>
      <c r="D57" s="3" t="s">
        <v>65</v>
      </c>
      <c r="E57" s="3">
        <v>325</v>
      </c>
      <c r="F57" s="3">
        <v>60</v>
      </c>
      <c r="G57" s="3">
        <v>40</v>
      </c>
      <c r="H57" s="3">
        <v>80</v>
      </c>
      <c r="I57" s="3">
        <v>60</v>
      </c>
      <c r="J57" s="3">
        <v>45</v>
      </c>
      <c r="K57" s="3">
        <v>40</v>
      </c>
      <c r="L57" s="3">
        <v>1</v>
      </c>
      <c r="M57" s="3" t="s">
        <v>453</v>
      </c>
    </row>
    <row r="58" spans="1:13" x14ac:dyDescent="0.3">
      <c r="A58" s="3">
        <v>57</v>
      </c>
      <c r="B58" s="3" t="s">
        <v>85</v>
      </c>
      <c r="C58" s="3" t="s">
        <v>13</v>
      </c>
      <c r="D58" s="3" t="s">
        <v>65</v>
      </c>
      <c r="E58" s="3">
        <v>520</v>
      </c>
      <c r="F58" s="3">
        <v>95</v>
      </c>
      <c r="G58" s="3">
        <v>95</v>
      </c>
      <c r="H58" s="3">
        <v>85</v>
      </c>
      <c r="I58" s="3">
        <v>125</v>
      </c>
      <c r="J58" s="3">
        <v>65</v>
      </c>
      <c r="K58" s="3">
        <v>55</v>
      </c>
      <c r="L58" s="3">
        <v>1</v>
      </c>
      <c r="M58" s="3" t="s">
        <v>453</v>
      </c>
    </row>
    <row r="59" spans="1:13" x14ac:dyDescent="0.3">
      <c r="A59" s="3">
        <v>58</v>
      </c>
      <c r="B59" s="3" t="s">
        <v>86</v>
      </c>
      <c r="C59" s="3" t="s">
        <v>38</v>
      </c>
      <c r="D59" s="3" t="s">
        <v>61</v>
      </c>
      <c r="E59" s="3">
        <v>345</v>
      </c>
      <c r="F59" s="3">
        <v>80</v>
      </c>
      <c r="G59" s="3">
        <v>85</v>
      </c>
      <c r="H59" s="3">
        <v>95</v>
      </c>
      <c r="I59" s="3">
        <v>30</v>
      </c>
      <c r="J59" s="3">
        <v>30</v>
      </c>
      <c r="K59" s="3">
        <v>25</v>
      </c>
      <c r="L59" s="3">
        <v>1</v>
      </c>
      <c r="M59" s="3" t="s">
        <v>453</v>
      </c>
    </row>
    <row r="60" spans="1:13" x14ac:dyDescent="0.3">
      <c r="A60" s="3">
        <v>59</v>
      </c>
      <c r="B60" s="3" t="s">
        <v>87</v>
      </c>
      <c r="C60" s="3" t="s">
        <v>38</v>
      </c>
      <c r="D60" s="3" t="s">
        <v>61</v>
      </c>
      <c r="E60" s="3">
        <v>485</v>
      </c>
      <c r="F60" s="3">
        <v>105</v>
      </c>
      <c r="G60" s="3">
        <v>130</v>
      </c>
      <c r="H60" s="3">
        <v>120</v>
      </c>
      <c r="I60" s="3">
        <v>45</v>
      </c>
      <c r="J60" s="3">
        <v>45</v>
      </c>
      <c r="K60" s="3">
        <v>40</v>
      </c>
      <c r="L60" s="3">
        <v>1</v>
      </c>
      <c r="M60" s="3" t="s">
        <v>453</v>
      </c>
    </row>
    <row r="61" spans="1:13" x14ac:dyDescent="0.3">
      <c r="A61" s="3">
        <v>60</v>
      </c>
      <c r="B61" s="3" t="s">
        <v>88</v>
      </c>
      <c r="C61" s="3" t="s">
        <v>53</v>
      </c>
      <c r="D61" s="3" t="s">
        <v>65</v>
      </c>
      <c r="E61" s="3">
        <v>520</v>
      </c>
      <c r="F61" s="3">
        <v>60</v>
      </c>
      <c r="G61" s="3">
        <v>75</v>
      </c>
      <c r="H61" s="3">
        <v>85</v>
      </c>
      <c r="I61" s="3">
        <v>100</v>
      </c>
      <c r="J61" s="3">
        <v>85</v>
      </c>
      <c r="K61" s="3">
        <v>115</v>
      </c>
      <c r="L61" s="3">
        <v>1</v>
      </c>
      <c r="M61" s="3" t="s">
        <v>453</v>
      </c>
    </row>
    <row r="62" spans="1:13" x14ac:dyDescent="0.3">
      <c r="A62" s="3">
        <v>61</v>
      </c>
      <c r="B62" s="3" t="s">
        <v>89</v>
      </c>
      <c r="C62" s="3" t="s">
        <v>65</v>
      </c>
      <c r="D62" s="3" t="s">
        <v>41</v>
      </c>
      <c r="E62" s="3">
        <v>460</v>
      </c>
      <c r="F62" s="3">
        <v>40</v>
      </c>
      <c r="G62" s="3">
        <v>45</v>
      </c>
      <c r="H62" s="3">
        <v>65</v>
      </c>
      <c r="I62" s="3">
        <v>100</v>
      </c>
      <c r="J62" s="3">
        <v>120</v>
      </c>
      <c r="K62" s="3">
        <v>90</v>
      </c>
      <c r="L62" s="3">
        <v>1</v>
      </c>
      <c r="M62" s="3" t="s">
        <v>453</v>
      </c>
    </row>
    <row r="63" spans="1:13" x14ac:dyDescent="0.3">
      <c r="A63" s="3">
        <v>62</v>
      </c>
      <c r="B63" s="3" t="s">
        <v>90</v>
      </c>
      <c r="C63" s="3" t="s">
        <v>25</v>
      </c>
      <c r="D63" s="3" t="s">
        <v>20</v>
      </c>
      <c r="E63" s="3">
        <v>500</v>
      </c>
      <c r="F63" s="3">
        <v>70</v>
      </c>
      <c r="G63" s="3">
        <v>110</v>
      </c>
      <c r="H63" s="3">
        <v>80</v>
      </c>
      <c r="I63" s="3">
        <v>55</v>
      </c>
      <c r="J63" s="3">
        <v>80</v>
      </c>
      <c r="K63" s="3">
        <v>105</v>
      </c>
      <c r="L63" s="3">
        <v>1</v>
      </c>
      <c r="M63" s="3" t="s">
        <v>453</v>
      </c>
    </row>
    <row r="64" spans="1:13" x14ac:dyDescent="0.3">
      <c r="A64" s="3">
        <v>63</v>
      </c>
      <c r="B64" s="3" t="s">
        <v>91</v>
      </c>
      <c r="C64" s="3" t="s">
        <v>76</v>
      </c>
      <c r="D64" s="3" t="s">
        <v>65</v>
      </c>
      <c r="E64" s="3">
        <v>455</v>
      </c>
      <c r="F64" s="3">
        <v>65</v>
      </c>
      <c r="G64" s="3">
        <v>50</v>
      </c>
      <c r="H64" s="3">
        <v>35</v>
      </c>
      <c r="I64" s="3">
        <v>115</v>
      </c>
      <c r="J64" s="3">
        <v>95</v>
      </c>
      <c r="K64" s="3">
        <v>95</v>
      </c>
      <c r="L64" s="3">
        <v>1</v>
      </c>
      <c r="M64" s="3" t="s">
        <v>453</v>
      </c>
    </row>
    <row r="65" spans="1:13" x14ac:dyDescent="0.3">
      <c r="A65" s="3">
        <v>64</v>
      </c>
      <c r="B65" s="3" t="s">
        <v>92</v>
      </c>
      <c r="C65" s="3" t="s">
        <v>25</v>
      </c>
      <c r="D65" s="3" t="s">
        <v>20</v>
      </c>
      <c r="E65" s="3">
        <v>600</v>
      </c>
      <c r="F65" s="3">
        <v>65</v>
      </c>
      <c r="G65" s="3">
        <v>155</v>
      </c>
      <c r="H65" s="3">
        <v>120</v>
      </c>
      <c r="I65" s="3">
        <v>65</v>
      </c>
      <c r="J65" s="3">
        <v>90</v>
      </c>
      <c r="K65" s="3">
        <v>105</v>
      </c>
      <c r="L65" s="3">
        <v>1</v>
      </c>
      <c r="M65" s="3" t="s">
        <v>453</v>
      </c>
    </row>
    <row r="66" spans="1:13" x14ac:dyDescent="0.3">
      <c r="A66" s="3">
        <v>65</v>
      </c>
      <c r="B66" s="3" t="s">
        <v>93</v>
      </c>
      <c r="C66" s="3" t="s">
        <v>53</v>
      </c>
      <c r="D66" s="3" t="s">
        <v>20</v>
      </c>
      <c r="E66" s="3">
        <v>540</v>
      </c>
      <c r="F66" s="3">
        <v>95</v>
      </c>
      <c r="G66" s="3">
        <v>125</v>
      </c>
      <c r="H66" s="3">
        <v>79</v>
      </c>
      <c r="I66" s="3">
        <v>60</v>
      </c>
      <c r="J66" s="3">
        <v>100</v>
      </c>
      <c r="K66" s="3">
        <v>81</v>
      </c>
      <c r="L66" s="3">
        <v>1</v>
      </c>
      <c r="M66" s="3" t="s">
        <v>453</v>
      </c>
    </row>
    <row r="67" spans="1:13" x14ac:dyDescent="0.3">
      <c r="A67" s="3">
        <v>66</v>
      </c>
      <c r="B67" s="3" t="s">
        <v>94</v>
      </c>
      <c r="C67" s="3" t="s">
        <v>53</v>
      </c>
      <c r="D67" s="3" t="s">
        <v>95</v>
      </c>
      <c r="E67" s="3">
        <v>640</v>
      </c>
      <c r="F67" s="3">
        <v>95</v>
      </c>
      <c r="G67" s="3">
        <v>155</v>
      </c>
      <c r="H67" s="3">
        <v>109</v>
      </c>
      <c r="I67" s="3">
        <v>70</v>
      </c>
      <c r="J67" s="3">
        <v>130</v>
      </c>
      <c r="K67" s="3">
        <v>81</v>
      </c>
      <c r="L67" s="3">
        <v>1</v>
      </c>
      <c r="M67" s="3" t="s">
        <v>453</v>
      </c>
    </row>
    <row r="68" spans="1:13" x14ac:dyDescent="0.3">
      <c r="A68" s="3">
        <v>67</v>
      </c>
      <c r="B68" s="3" t="s">
        <v>96</v>
      </c>
      <c r="C68" s="3" t="s">
        <v>53</v>
      </c>
      <c r="D68" s="3" t="s">
        <v>76</v>
      </c>
      <c r="E68" s="3">
        <v>535</v>
      </c>
      <c r="F68" s="3">
        <v>130</v>
      </c>
      <c r="G68" s="3">
        <v>85</v>
      </c>
      <c r="H68" s="3">
        <v>80</v>
      </c>
      <c r="I68" s="3">
        <v>85</v>
      </c>
      <c r="J68" s="3">
        <v>95</v>
      </c>
      <c r="K68" s="3">
        <v>60</v>
      </c>
      <c r="L68" s="3">
        <v>1</v>
      </c>
      <c r="M68" s="3" t="s">
        <v>453</v>
      </c>
    </row>
    <row r="69" spans="1:13" x14ac:dyDescent="0.3">
      <c r="A69" s="3">
        <v>68</v>
      </c>
      <c r="B69" s="3" t="s">
        <v>97</v>
      </c>
      <c r="C69" s="3" t="s">
        <v>61</v>
      </c>
      <c r="D69" s="3" t="s">
        <v>53</v>
      </c>
      <c r="E69" s="3">
        <v>355</v>
      </c>
      <c r="F69" s="3">
        <v>35</v>
      </c>
      <c r="G69" s="3">
        <v>40</v>
      </c>
      <c r="H69" s="3">
        <v>100</v>
      </c>
      <c r="I69" s="3">
        <v>90</v>
      </c>
      <c r="J69" s="3">
        <v>55</v>
      </c>
      <c r="K69" s="3">
        <v>35</v>
      </c>
      <c r="L69" s="3">
        <v>1</v>
      </c>
      <c r="M69" s="3" t="s">
        <v>453</v>
      </c>
    </row>
    <row r="70" spans="1:13" x14ac:dyDescent="0.3">
      <c r="A70" s="3">
        <v>69</v>
      </c>
      <c r="B70" s="3" t="s">
        <v>98</v>
      </c>
      <c r="C70" s="3" t="s">
        <v>61</v>
      </c>
      <c r="D70" s="3" t="s">
        <v>53</v>
      </c>
      <c r="E70" s="3">
        <v>495</v>
      </c>
      <c r="F70" s="3">
        <v>70</v>
      </c>
      <c r="G70" s="3">
        <v>60</v>
      </c>
      <c r="H70" s="3">
        <v>125</v>
      </c>
      <c r="I70" s="3">
        <v>115</v>
      </c>
      <c r="J70" s="3">
        <v>70</v>
      </c>
      <c r="K70" s="3">
        <v>55</v>
      </c>
      <c r="L70" s="3">
        <v>1</v>
      </c>
      <c r="M70" s="3" t="s">
        <v>453</v>
      </c>
    </row>
    <row r="71" spans="1:13" x14ac:dyDescent="0.3">
      <c r="A71" s="3">
        <v>70</v>
      </c>
      <c r="B71" s="3" t="s">
        <v>99</v>
      </c>
      <c r="C71" s="3" t="s">
        <v>61</v>
      </c>
      <c r="D71" s="3" t="s">
        <v>53</v>
      </c>
      <c r="E71" s="3">
        <v>355</v>
      </c>
      <c r="F71" s="3">
        <v>30</v>
      </c>
      <c r="G71" s="3">
        <v>80</v>
      </c>
      <c r="H71" s="3">
        <v>90</v>
      </c>
      <c r="I71" s="3">
        <v>55</v>
      </c>
      <c r="J71" s="3">
        <v>45</v>
      </c>
      <c r="K71" s="3">
        <v>55</v>
      </c>
      <c r="L71" s="3">
        <v>1</v>
      </c>
      <c r="M71" s="3" t="s">
        <v>453</v>
      </c>
    </row>
    <row r="72" spans="1:13" x14ac:dyDescent="0.3">
      <c r="A72" s="3">
        <v>71</v>
      </c>
      <c r="B72" s="3" t="s">
        <v>100</v>
      </c>
      <c r="C72" s="3" t="s">
        <v>61</v>
      </c>
      <c r="D72" s="3" t="s">
        <v>53</v>
      </c>
      <c r="E72" s="3">
        <v>495</v>
      </c>
      <c r="F72" s="3">
        <v>60</v>
      </c>
      <c r="G72" s="3">
        <v>115</v>
      </c>
      <c r="H72" s="3">
        <v>105</v>
      </c>
      <c r="I72" s="3">
        <v>65</v>
      </c>
      <c r="J72" s="3">
        <v>70</v>
      </c>
      <c r="K72" s="3">
        <v>80</v>
      </c>
      <c r="L72" s="3">
        <v>1</v>
      </c>
      <c r="M72" s="3" t="s">
        <v>453</v>
      </c>
    </row>
    <row r="73" spans="1:13" x14ac:dyDescent="0.3">
      <c r="A73" s="3">
        <v>72</v>
      </c>
      <c r="B73" s="3" t="s">
        <v>101</v>
      </c>
      <c r="C73" s="3" t="s">
        <v>61</v>
      </c>
      <c r="D73" s="3" t="s">
        <v>20</v>
      </c>
      <c r="E73" s="3">
        <v>515</v>
      </c>
      <c r="F73" s="3">
        <v>80</v>
      </c>
      <c r="G73" s="3">
        <v>105</v>
      </c>
      <c r="H73" s="3">
        <v>65</v>
      </c>
      <c r="I73" s="3">
        <v>60</v>
      </c>
      <c r="J73" s="3">
        <v>75</v>
      </c>
      <c r="K73" s="3">
        <v>130</v>
      </c>
      <c r="L73" s="3">
        <v>1</v>
      </c>
      <c r="M73" s="3" t="s">
        <v>453</v>
      </c>
    </row>
    <row r="74" spans="1:13" x14ac:dyDescent="0.3">
      <c r="A74" s="3">
        <v>73</v>
      </c>
      <c r="B74" s="3" t="s">
        <v>102</v>
      </c>
      <c r="C74" s="3" t="s">
        <v>61</v>
      </c>
      <c r="D74" s="3" t="s">
        <v>20</v>
      </c>
      <c r="E74" s="3">
        <v>615</v>
      </c>
      <c r="F74" s="3">
        <v>80</v>
      </c>
      <c r="G74" s="3">
        <v>135</v>
      </c>
      <c r="H74" s="3">
        <v>85</v>
      </c>
      <c r="I74" s="3">
        <v>70</v>
      </c>
      <c r="J74" s="3">
        <v>95</v>
      </c>
      <c r="K74" s="3">
        <v>150</v>
      </c>
      <c r="L74" s="3">
        <v>1</v>
      </c>
      <c r="M74" s="3" t="s">
        <v>453</v>
      </c>
    </row>
    <row r="75" spans="1:13" x14ac:dyDescent="0.3">
      <c r="A75" s="3">
        <v>74</v>
      </c>
      <c r="B75" s="3" t="s">
        <v>103</v>
      </c>
      <c r="C75" s="3" t="s">
        <v>76</v>
      </c>
      <c r="D75" s="3" t="s">
        <v>20</v>
      </c>
      <c r="E75" s="3">
        <v>580</v>
      </c>
      <c r="F75" s="3">
        <v>90</v>
      </c>
      <c r="G75" s="3">
        <v>85</v>
      </c>
      <c r="H75" s="3">
        <v>100</v>
      </c>
      <c r="I75" s="3">
        <v>95</v>
      </c>
      <c r="J75" s="3">
        <v>125</v>
      </c>
      <c r="K75" s="3">
        <v>85</v>
      </c>
      <c r="L75" s="3">
        <v>1</v>
      </c>
      <c r="M75" s="3" t="s">
        <v>451</v>
      </c>
    </row>
    <row r="76" spans="1:13" x14ac:dyDescent="0.3">
      <c r="A76" s="3">
        <v>75</v>
      </c>
      <c r="B76" s="3" t="s">
        <v>104</v>
      </c>
      <c r="C76" s="3" t="s">
        <v>69</v>
      </c>
      <c r="D76" s="3" t="s">
        <v>20</v>
      </c>
      <c r="E76" s="3">
        <v>580</v>
      </c>
      <c r="F76" s="3">
        <v>90</v>
      </c>
      <c r="G76" s="3">
        <v>90</v>
      </c>
      <c r="H76" s="3">
        <v>85</v>
      </c>
      <c r="I76" s="3">
        <v>125</v>
      </c>
      <c r="J76" s="3">
        <v>90</v>
      </c>
      <c r="K76" s="3">
        <v>100</v>
      </c>
      <c r="L76" s="3">
        <v>1</v>
      </c>
      <c r="M76" s="3" t="s">
        <v>451</v>
      </c>
    </row>
    <row r="77" spans="1:13" x14ac:dyDescent="0.3">
      <c r="A77" s="3">
        <v>76</v>
      </c>
      <c r="B77" s="3" t="s">
        <v>105</v>
      </c>
      <c r="C77" s="3" t="s">
        <v>19</v>
      </c>
      <c r="D77" s="3" t="s">
        <v>20</v>
      </c>
      <c r="E77" s="3">
        <v>580</v>
      </c>
      <c r="F77" s="3">
        <v>90</v>
      </c>
      <c r="G77" s="3">
        <v>100</v>
      </c>
      <c r="H77" s="3">
        <v>90</v>
      </c>
      <c r="I77" s="3">
        <v>125</v>
      </c>
      <c r="J77" s="3">
        <v>85</v>
      </c>
      <c r="K77" s="3">
        <v>90</v>
      </c>
      <c r="L77" s="3">
        <v>1</v>
      </c>
      <c r="M77" s="3" t="s">
        <v>451</v>
      </c>
    </row>
    <row r="78" spans="1:13" x14ac:dyDescent="0.3">
      <c r="A78" s="3">
        <v>77</v>
      </c>
      <c r="B78" s="3" t="s">
        <v>106</v>
      </c>
      <c r="C78" s="3" t="s">
        <v>22</v>
      </c>
      <c r="D78" s="3" t="s">
        <v>20</v>
      </c>
      <c r="E78" s="3">
        <v>600</v>
      </c>
      <c r="F78" s="3">
        <v>91</v>
      </c>
      <c r="G78" s="3">
        <v>134</v>
      </c>
      <c r="H78" s="3">
        <v>95</v>
      </c>
      <c r="I78" s="3">
        <v>100</v>
      </c>
      <c r="J78" s="3">
        <v>100</v>
      </c>
      <c r="K78" s="3">
        <v>80</v>
      </c>
      <c r="L78" s="3">
        <v>1</v>
      </c>
      <c r="M78" s="3" t="s">
        <v>453</v>
      </c>
    </row>
    <row r="79" spans="1:13" x14ac:dyDescent="0.3">
      <c r="A79" s="3">
        <v>78</v>
      </c>
      <c r="B79" s="3" t="s">
        <v>107</v>
      </c>
      <c r="C79" s="3" t="s">
        <v>65</v>
      </c>
      <c r="D79" s="3" t="s">
        <v>54</v>
      </c>
      <c r="E79" s="3">
        <v>780</v>
      </c>
      <c r="F79" s="3">
        <v>106</v>
      </c>
      <c r="G79" s="3">
        <v>190</v>
      </c>
      <c r="H79" s="3">
        <v>100</v>
      </c>
      <c r="I79" s="3">
        <v>154</v>
      </c>
      <c r="J79" s="3">
        <v>100</v>
      </c>
      <c r="K79" s="3">
        <v>130</v>
      </c>
      <c r="L79" s="3">
        <v>1</v>
      </c>
      <c r="M79" s="3" t="s">
        <v>451</v>
      </c>
    </row>
    <row r="80" spans="1:13" x14ac:dyDescent="0.3">
      <c r="A80" s="3">
        <v>79</v>
      </c>
      <c r="B80" s="3" t="s">
        <v>108</v>
      </c>
      <c r="C80" s="3" t="s">
        <v>31</v>
      </c>
      <c r="D80" s="3" t="s">
        <v>20</v>
      </c>
      <c r="E80" s="3">
        <v>262</v>
      </c>
      <c r="F80" s="3">
        <v>60</v>
      </c>
      <c r="G80" s="3">
        <v>30</v>
      </c>
      <c r="H80" s="3">
        <v>30</v>
      </c>
      <c r="I80" s="3">
        <v>36</v>
      </c>
      <c r="J80" s="3">
        <v>56</v>
      </c>
      <c r="K80" s="3">
        <v>50</v>
      </c>
      <c r="L80" s="3">
        <v>2</v>
      </c>
      <c r="M80" s="3" t="s">
        <v>453</v>
      </c>
    </row>
    <row r="81" spans="1:13" x14ac:dyDescent="0.3">
      <c r="A81" s="3">
        <v>80</v>
      </c>
      <c r="B81" s="3" t="s">
        <v>109</v>
      </c>
      <c r="C81" s="3" t="s">
        <v>31</v>
      </c>
      <c r="D81" s="3" t="s">
        <v>20</v>
      </c>
      <c r="E81" s="3">
        <v>442</v>
      </c>
      <c r="F81" s="3">
        <v>100</v>
      </c>
      <c r="G81" s="3">
        <v>50</v>
      </c>
      <c r="H81" s="3">
        <v>50</v>
      </c>
      <c r="I81" s="3">
        <v>76</v>
      </c>
      <c r="J81" s="3">
        <v>96</v>
      </c>
      <c r="K81" s="3">
        <v>70</v>
      </c>
      <c r="L81" s="3">
        <v>2</v>
      </c>
      <c r="M81" s="3" t="s">
        <v>453</v>
      </c>
    </row>
    <row r="82" spans="1:13" x14ac:dyDescent="0.3">
      <c r="A82" s="3">
        <v>81</v>
      </c>
      <c r="B82" s="3" t="s">
        <v>110</v>
      </c>
      <c r="C82" s="3" t="s">
        <v>25</v>
      </c>
      <c r="D82" s="3" t="s">
        <v>20</v>
      </c>
      <c r="E82" s="3">
        <v>265</v>
      </c>
      <c r="F82" s="3">
        <v>40</v>
      </c>
      <c r="G82" s="3">
        <v>20</v>
      </c>
      <c r="H82" s="3">
        <v>30</v>
      </c>
      <c r="I82" s="3">
        <v>40</v>
      </c>
      <c r="J82" s="3">
        <v>80</v>
      </c>
      <c r="K82" s="3">
        <v>55</v>
      </c>
      <c r="L82" s="3">
        <v>2</v>
      </c>
      <c r="M82" s="3" t="s">
        <v>453</v>
      </c>
    </row>
    <row r="83" spans="1:13" x14ac:dyDescent="0.3">
      <c r="A83" s="3">
        <v>82</v>
      </c>
      <c r="B83" s="3" t="s">
        <v>111</v>
      </c>
      <c r="C83" s="3" t="s">
        <v>25</v>
      </c>
      <c r="D83" s="3" t="s">
        <v>20</v>
      </c>
      <c r="E83" s="3">
        <v>390</v>
      </c>
      <c r="F83" s="3">
        <v>55</v>
      </c>
      <c r="G83" s="3">
        <v>35</v>
      </c>
      <c r="H83" s="3">
        <v>50</v>
      </c>
      <c r="I83" s="3">
        <v>55</v>
      </c>
      <c r="J83" s="3">
        <v>110</v>
      </c>
      <c r="K83" s="3">
        <v>85</v>
      </c>
      <c r="L83" s="3">
        <v>2</v>
      </c>
      <c r="M83" s="3" t="s">
        <v>453</v>
      </c>
    </row>
    <row r="84" spans="1:13" x14ac:dyDescent="0.3">
      <c r="A84" s="3">
        <v>83</v>
      </c>
      <c r="B84" s="3" t="s">
        <v>112</v>
      </c>
      <c r="C84" s="3" t="s">
        <v>25</v>
      </c>
      <c r="D84" s="3" t="s">
        <v>14</v>
      </c>
      <c r="E84" s="3">
        <v>250</v>
      </c>
      <c r="F84" s="3">
        <v>40</v>
      </c>
      <c r="G84" s="3">
        <v>60</v>
      </c>
      <c r="H84" s="3">
        <v>40</v>
      </c>
      <c r="I84" s="3">
        <v>40</v>
      </c>
      <c r="J84" s="3">
        <v>40</v>
      </c>
      <c r="K84" s="3">
        <v>30</v>
      </c>
      <c r="L84" s="3">
        <v>2</v>
      </c>
      <c r="M84" s="3" t="s">
        <v>453</v>
      </c>
    </row>
    <row r="85" spans="1:13" x14ac:dyDescent="0.3">
      <c r="A85" s="3">
        <v>84</v>
      </c>
      <c r="B85" s="3" t="s">
        <v>113</v>
      </c>
      <c r="C85" s="3" t="s">
        <v>25</v>
      </c>
      <c r="D85" s="3" t="s">
        <v>14</v>
      </c>
      <c r="E85" s="3">
        <v>390</v>
      </c>
      <c r="F85" s="3">
        <v>70</v>
      </c>
      <c r="G85" s="3">
        <v>90</v>
      </c>
      <c r="H85" s="3">
        <v>70</v>
      </c>
      <c r="I85" s="3">
        <v>60</v>
      </c>
      <c r="J85" s="3">
        <v>60</v>
      </c>
      <c r="K85" s="3">
        <v>40</v>
      </c>
      <c r="L85" s="3">
        <v>2</v>
      </c>
      <c r="M85" s="3" t="s">
        <v>453</v>
      </c>
    </row>
    <row r="86" spans="1:13" x14ac:dyDescent="0.3">
      <c r="A86" s="3">
        <v>85</v>
      </c>
      <c r="B86" s="3" t="s">
        <v>114</v>
      </c>
      <c r="C86" s="3" t="s">
        <v>14</v>
      </c>
      <c r="D86" s="3" t="s">
        <v>20</v>
      </c>
      <c r="E86" s="3">
        <v>535</v>
      </c>
      <c r="F86" s="3">
        <v>85</v>
      </c>
      <c r="G86" s="3">
        <v>90</v>
      </c>
      <c r="H86" s="3">
        <v>80</v>
      </c>
      <c r="I86" s="3">
        <v>70</v>
      </c>
      <c r="J86" s="3">
        <v>80</v>
      </c>
      <c r="K86" s="3">
        <v>130</v>
      </c>
      <c r="L86" s="3">
        <v>2</v>
      </c>
      <c r="M86" s="3" t="s">
        <v>453</v>
      </c>
    </row>
    <row r="87" spans="1:13" x14ac:dyDescent="0.3">
      <c r="A87" s="3">
        <v>86</v>
      </c>
      <c r="B87" s="3" t="s">
        <v>115</v>
      </c>
      <c r="C87" s="3" t="s">
        <v>53</v>
      </c>
      <c r="D87" s="3" t="s">
        <v>69</v>
      </c>
      <c r="E87" s="3">
        <v>330</v>
      </c>
      <c r="F87" s="3">
        <v>75</v>
      </c>
      <c r="G87" s="3">
        <v>38</v>
      </c>
      <c r="H87" s="3">
        <v>38</v>
      </c>
      <c r="I87" s="3">
        <v>56</v>
      </c>
      <c r="J87" s="3">
        <v>56</v>
      </c>
      <c r="K87" s="3">
        <v>67</v>
      </c>
      <c r="L87" s="3">
        <v>2</v>
      </c>
      <c r="M87" s="3" t="s">
        <v>453</v>
      </c>
    </row>
    <row r="88" spans="1:13" x14ac:dyDescent="0.3">
      <c r="A88" s="3">
        <v>87</v>
      </c>
      <c r="B88" s="3" t="s">
        <v>116</v>
      </c>
      <c r="C88" s="3" t="s">
        <v>53</v>
      </c>
      <c r="D88" s="3" t="s">
        <v>69</v>
      </c>
      <c r="E88" s="3">
        <v>460</v>
      </c>
      <c r="F88" s="3">
        <v>125</v>
      </c>
      <c r="G88" s="3">
        <v>58</v>
      </c>
      <c r="H88" s="3">
        <v>58</v>
      </c>
      <c r="I88" s="3">
        <v>76</v>
      </c>
      <c r="J88" s="3">
        <v>76</v>
      </c>
      <c r="K88" s="3">
        <v>67</v>
      </c>
      <c r="L88" s="3">
        <v>2</v>
      </c>
      <c r="M88" s="3" t="s">
        <v>453</v>
      </c>
    </row>
    <row r="89" spans="1:13" x14ac:dyDescent="0.3">
      <c r="A89" s="3">
        <v>88</v>
      </c>
      <c r="B89" s="3" t="s">
        <v>117</v>
      </c>
      <c r="C89" s="3" t="s">
        <v>31</v>
      </c>
      <c r="D89" s="3" t="s">
        <v>41</v>
      </c>
      <c r="E89" s="3">
        <v>210</v>
      </c>
      <c r="F89" s="3">
        <v>90</v>
      </c>
      <c r="G89" s="3">
        <v>30</v>
      </c>
      <c r="H89" s="3">
        <v>15</v>
      </c>
      <c r="I89" s="3">
        <v>40</v>
      </c>
      <c r="J89" s="3">
        <v>20</v>
      </c>
      <c r="K89" s="3">
        <v>15</v>
      </c>
      <c r="L89" s="3">
        <v>2</v>
      </c>
      <c r="M89" s="3" t="s">
        <v>453</v>
      </c>
    </row>
    <row r="90" spans="1:13" x14ac:dyDescent="0.3">
      <c r="A90" s="3">
        <v>89</v>
      </c>
      <c r="B90" s="3" t="s">
        <v>118</v>
      </c>
      <c r="C90" s="3" t="s">
        <v>41</v>
      </c>
      <c r="D90" s="3" t="s">
        <v>20</v>
      </c>
      <c r="E90" s="3">
        <v>405</v>
      </c>
      <c r="F90" s="3">
        <v>55</v>
      </c>
      <c r="G90" s="3">
        <v>40</v>
      </c>
      <c r="H90" s="3">
        <v>85</v>
      </c>
      <c r="I90" s="3">
        <v>80</v>
      </c>
      <c r="J90" s="3">
        <v>105</v>
      </c>
      <c r="K90" s="3">
        <v>40</v>
      </c>
      <c r="L90" s="3">
        <v>2</v>
      </c>
      <c r="M90" s="3" t="s">
        <v>453</v>
      </c>
    </row>
    <row r="91" spans="1:13" x14ac:dyDescent="0.3">
      <c r="A91" s="3">
        <v>90</v>
      </c>
      <c r="B91" s="3" t="s">
        <v>119</v>
      </c>
      <c r="C91" s="3" t="s">
        <v>65</v>
      </c>
      <c r="D91" s="3" t="s">
        <v>20</v>
      </c>
      <c r="E91" s="3">
        <v>320</v>
      </c>
      <c r="F91" s="3">
        <v>40</v>
      </c>
      <c r="G91" s="3">
        <v>50</v>
      </c>
      <c r="H91" s="3">
        <v>45</v>
      </c>
      <c r="I91" s="3">
        <v>70</v>
      </c>
      <c r="J91" s="3">
        <v>45</v>
      </c>
      <c r="K91" s="3">
        <v>70</v>
      </c>
      <c r="L91" s="3">
        <v>2</v>
      </c>
      <c r="M91" s="3" t="s">
        <v>453</v>
      </c>
    </row>
    <row r="92" spans="1:13" x14ac:dyDescent="0.3">
      <c r="A92" s="3">
        <v>91</v>
      </c>
      <c r="B92" s="3" t="s">
        <v>120</v>
      </c>
      <c r="C92" s="3" t="s">
        <v>65</v>
      </c>
      <c r="D92" s="3" t="s">
        <v>20</v>
      </c>
      <c r="E92" s="3">
        <v>470</v>
      </c>
      <c r="F92" s="3">
        <v>65</v>
      </c>
      <c r="G92" s="3">
        <v>75</v>
      </c>
      <c r="H92" s="3">
        <v>70</v>
      </c>
      <c r="I92" s="3">
        <v>95</v>
      </c>
      <c r="J92" s="3">
        <v>70</v>
      </c>
      <c r="K92" s="3">
        <v>95</v>
      </c>
      <c r="L92" s="3">
        <v>2</v>
      </c>
      <c r="M92" s="3" t="s">
        <v>453</v>
      </c>
    </row>
    <row r="93" spans="1:13" x14ac:dyDescent="0.3">
      <c r="A93" s="3">
        <v>92</v>
      </c>
      <c r="B93" s="3" t="s">
        <v>121</v>
      </c>
      <c r="C93" s="3" t="s">
        <v>69</v>
      </c>
      <c r="D93" s="3" t="s">
        <v>22</v>
      </c>
      <c r="E93" s="3">
        <v>610</v>
      </c>
      <c r="F93" s="3">
        <v>90</v>
      </c>
      <c r="G93" s="3">
        <v>95</v>
      </c>
      <c r="H93" s="3">
        <v>105</v>
      </c>
      <c r="I93" s="3">
        <v>165</v>
      </c>
      <c r="J93" s="3">
        <v>110</v>
      </c>
      <c r="K93" s="3">
        <v>45</v>
      </c>
      <c r="L93" s="3">
        <v>2</v>
      </c>
      <c r="M93" s="3" t="s">
        <v>453</v>
      </c>
    </row>
    <row r="94" spans="1:13" x14ac:dyDescent="0.3">
      <c r="A94" s="3">
        <v>93</v>
      </c>
      <c r="B94" s="3" t="s">
        <v>122</v>
      </c>
      <c r="C94" s="3" t="s">
        <v>53</v>
      </c>
      <c r="D94" s="3" t="s">
        <v>41</v>
      </c>
      <c r="E94" s="3">
        <v>250</v>
      </c>
      <c r="F94" s="3">
        <v>70</v>
      </c>
      <c r="G94" s="3">
        <v>20</v>
      </c>
      <c r="H94" s="3">
        <v>50</v>
      </c>
      <c r="I94" s="3">
        <v>20</v>
      </c>
      <c r="J94" s="3">
        <v>50</v>
      </c>
      <c r="K94" s="3">
        <v>40</v>
      </c>
      <c r="L94" s="3">
        <v>2</v>
      </c>
      <c r="M94" s="3" t="s">
        <v>453</v>
      </c>
    </row>
    <row r="95" spans="1:13" x14ac:dyDescent="0.3">
      <c r="A95" s="3">
        <v>94</v>
      </c>
      <c r="B95" s="3" t="s">
        <v>123</v>
      </c>
      <c r="C95" s="3" t="s">
        <v>53</v>
      </c>
      <c r="D95" s="3" t="s">
        <v>41</v>
      </c>
      <c r="E95" s="3">
        <v>420</v>
      </c>
      <c r="F95" s="3">
        <v>100</v>
      </c>
      <c r="G95" s="3">
        <v>50</v>
      </c>
      <c r="H95" s="3">
        <v>80</v>
      </c>
      <c r="I95" s="3">
        <v>60</v>
      </c>
      <c r="J95" s="3">
        <v>80</v>
      </c>
      <c r="K95" s="3">
        <v>50</v>
      </c>
      <c r="L95" s="3">
        <v>2</v>
      </c>
      <c r="M95" s="3" t="s">
        <v>453</v>
      </c>
    </row>
    <row r="96" spans="1:13" x14ac:dyDescent="0.3">
      <c r="A96" s="3">
        <v>95</v>
      </c>
      <c r="B96" s="3" t="s">
        <v>124</v>
      </c>
      <c r="C96" s="3" t="s">
        <v>13</v>
      </c>
      <c r="D96" s="3" t="s">
        <v>20</v>
      </c>
      <c r="E96" s="3">
        <v>250</v>
      </c>
      <c r="F96" s="3">
        <v>35</v>
      </c>
      <c r="G96" s="3">
        <v>35</v>
      </c>
      <c r="H96" s="3">
        <v>40</v>
      </c>
      <c r="I96" s="3">
        <v>35</v>
      </c>
      <c r="J96" s="3">
        <v>55</v>
      </c>
      <c r="K96" s="3">
        <v>50</v>
      </c>
      <c r="L96" s="3">
        <v>2</v>
      </c>
      <c r="M96" s="3" t="s">
        <v>453</v>
      </c>
    </row>
    <row r="97" spans="1:13" x14ac:dyDescent="0.3">
      <c r="A97" s="3">
        <v>96</v>
      </c>
      <c r="B97" s="3" t="s">
        <v>125</v>
      </c>
      <c r="C97" s="3" t="s">
        <v>13</v>
      </c>
      <c r="D97" s="3" t="s">
        <v>20</v>
      </c>
      <c r="E97" s="3">
        <v>340</v>
      </c>
      <c r="F97" s="3">
        <v>55</v>
      </c>
      <c r="G97" s="3">
        <v>45</v>
      </c>
      <c r="H97" s="3">
        <v>50</v>
      </c>
      <c r="I97" s="3">
        <v>45</v>
      </c>
      <c r="J97" s="3">
        <v>65</v>
      </c>
      <c r="K97" s="3">
        <v>80</v>
      </c>
      <c r="L97" s="3">
        <v>2</v>
      </c>
      <c r="M97" s="3" t="s">
        <v>453</v>
      </c>
    </row>
    <row r="98" spans="1:13" x14ac:dyDescent="0.3">
      <c r="A98" s="3">
        <v>97</v>
      </c>
      <c r="B98" s="3" t="s">
        <v>126</v>
      </c>
      <c r="C98" s="3" t="s">
        <v>13</v>
      </c>
      <c r="D98" s="3" t="s">
        <v>20</v>
      </c>
      <c r="E98" s="3">
        <v>460</v>
      </c>
      <c r="F98" s="3">
        <v>75</v>
      </c>
      <c r="G98" s="3">
        <v>55</v>
      </c>
      <c r="H98" s="3">
        <v>70</v>
      </c>
      <c r="I98" s="3">
        <v>55</v>
      </c>
      <c r="J98" s="3">
        <v>95</v>
      </c>
      <c r="K98" s="3">
        <v>110</v>
      </c>
      <c r="L98" s="3">
        <v>2</v>
      </c>
      <c r="M98" s="3" t="s">
        <v>453</v>
      </c>
    </row>
    <row r="99" spans="1:13" x14ac:dyDescent="0.3">
      <c r="A99" s="3">
        <v>98</v>
      </c>
      <c r="B99" s="3" t="s">
        <v>127</v>
      </c>
      <c r="C99" s="3" t="s">
        <v>25</v>
      </c>
      <c r="D99" s="3" t="s">
        <v>20</v>
      </c>
      <c r="E99" s="3">
        <v>390</v>
      </c>
      <c r="F99" s="3">
        <v>65</v>
      </c>
      <c r="G99" s="3">
        <v>65</v>
      </c>
      <c r="H99" s="3">
        <v>45</v>
      </c>
      <c r="I99" s="3">
        <v>75</v>
      </c>
      <c r="J99" s="3">
        <v>45</v>
      </c>
      <c r="K99" s="3">
        <v>95</v>
      </c>
      <c r="L99" s="3">
        <v>2</v>
      </c>
      <c r="M99" s="3" t="s">
        <v>453</v>
      </c>
    </row>
    <row r="100" spans="1:13" x14ac:dyDescent="0.3">
      <c r="A100" s="3">
        <v>99</v>
      </c>
      <c r="B100" s="3" t="s">
        <v>128</v>
      </c>
      <c r="C100" s="3" t="s">
        <v>53</v>
      </c>
      <c r="D100" s="3" t="s">
        <v>38</v>
      </c>
      <c r="E100" s="3">
        <v>210</v>
      </c>
      <c r="F100" s="3">
        <v>55</v>
      </c>
      <c r="G100" s="3">
        <v>45</v>
      </c>
      <c r="H100" s="3">
        <v>45</v>
      </c>
      <c r="I100" s="3">
        <v>25</v>
      </c>
      <c r="J100" s="3">
        <v>25</v>
      </c>
      <c r="K100" s="3">
        <v>15</v>
      </c>
      <c r="L100" s="3">
        <v>2</v>
      </c>
      <c r="M100" s="3" t="s">
        <v>453</v>
      </c>
    </row>
    <row r="101" spans="1:13" x14ac:dyDescent="0.3">
      <c r="A101" s="3">
        <v>100</v>
      </c>
      <c r="B101" s="3" t="s">
        <v>129</v>
      </c>
      <c r="C101" s="3" t="s">
        <v>53</v>
      </c>
      <c r="D101" s="3" t="s">
        <v>38</v>
      </c>
      <c r="E101" s="3">
        <v>430</v>
      </c>
      <c r="F101" s="3">
        <v>95</v>
      </c>
      <c r="G101" s="3">
        <v>85</v>
      </c>
      <c r="H101" s="3">
        <v>85</v>
      </c>
      <c r="I101" s="3">
        <v>65</v>
      </c>
      <c r="J101" s="3">
        <v>65</v>
      </c>
      <c r="K101" s="3">
        <v>35</v>
      </c>
      <c r="L101" s="3">
        <v>2</v>
      </c>
      <c r="M101" s="3" t="s">
        <v>453</v>
      </c>
    </row>
    <row r="102" spans="1:13" x14ac:dyDescent="0.3">
      <c r="A102" s="3">
        <v>101</v>
      </c>
      <c r="B102" s="3" t="s">
        <v>130</v>
      </c>
      <c r="C102" s="3" t="s">
        <v>95</v>
      </c>
      <c r="D102" s="3" t="s">
        <v>20</v>
      </c>
      <c r="E102" s="3">
        <v>405</v>
      </c>
      <c r="F102" s="3">
        <v>60</v>
      </c>
      <c r="G102" s="3">
        <v>85</v>
      </c>
      <c r="H102" s="3">
        <v>42</v>
      </c>
      <c r="I102" s="3">
        <v>85</v>
      </c>
      <c r="J102" s="3">
        <v>42</v>
      </c>
      <c r="K102" s="3">
        <v>91</v>
      </c>
      <c r="L102" s="3">
        <v>2</v>
      </c>
      <c r="M102" s="3" t="s">
        <v>453</v>
      </c>
    </row>
    <row r="103" spans="1:13" x14ac:dyDescent="0.3">
      <c r="A103" s="3">
        <v>102</v>
      </c>
      <c r="B103" s="3" t="s">
        <v>131</v>
      </c>
      <c r="C103" s="3" t="s">
        <v>53</v>
      </c>
      <c r="D103" s="3" t="s">
        <v>65</v>
      </c>
      <c r="E103" s="3">
        <v>490</v>
      </c>
      <c r="F103" s="3">
        <v>95</v>
      </c>
      <c r="G103" s="3">
        <v>75</v>
      </c>
      <c r="H103" s="3">
        <v>80</v>
      </c>
      <c r="I103" s="3">
        <v>100</v>
      </c>
      <c r="J103" s="3">
        <v>110</v>
      </c>
      <c r="K103" s="3">
        <v>30</v>
      </c>
      <c r="L103" s="3">
        <v>2</v>
      </c>
      <c r="M103" s="3" t="s">
        <v>453</v>
      </c>
    </row>
    <row r="104" spans="1:13" x14ac:dyDescent="0.3">
      <c r="A104" s="3">
        <v>103</v>
      </c>
      <c r="B104" s="3" t="s">
        <v>132</v>
      </c>
      <c r="C104" s="3" t="s">
        <v>31</v>
      </c>
      <c r="D104" s="3" t="s">
        <v>65</v>
      </c>
      <c r="E104" s="3">
        <v>455</v>
      </c>
      <c r="F104" s="3">
        <v>70</v>
      </c>
      <c r="G104" s="3">
        <v>80</v>
      </c>
      <c r="H104" s="3">
        <v>65</v>
      </c>
      <c r="I104" s="3">
        <v>90</v>
      </c>
      <c r="J104" s="3">
        <v>65</v>
      </c>
      <c r="K104" s="3">
        <v>85</v>
      </c>
      <c r="L104" s="3">
        <v>2</v>
      </c>
      <c r="M104" s="3" t="s">
        <v>453</v>
      </c>
    </row>
    <row r="105" spans="1:13" x14ac:dyDescent="0.3">
      <c r="A105" s="3">
        <v>104</v>
      </c>
      <c r="B105" s="3" t="s">
        <v>133</v>
      </c>
      <c r="C105" s="3" t="s">
        <v>25</v>
      </c>
      <c r="D105" s="3" t="s">
        <v>70</v>
      </c>
      <c r="E105" s="3">
        <v>465</v>
      </c>
      <c r="F105" s="3">
        <v>75</v>
      </c>
      <c r="G105" s="3">
        <v>90</v>
      </c>
      <c r="H105" s="3">
        <v>140</v>
      </c>
      <c r="I105" s="3">
        <v>60</v>
      </c>
      <c r="J105" s="3">
        <v>60</v>
      </c>
      <c r="K105" s="3">
        <v>40</v>
      </c>
      <c r="L105" s="3">
        <v>2</v>
      </c>
      <c r="M105" s="3" t="s">
        <v>453</v>
      </c>
    </row>
    <row r="106" spans="1:13" x14ac:dyDescent="0.3">
      <c r="A106" s="3">
        <v>105</v>
      </c>
      <c r="B106" s="3" t="s">
        <v>134</v>
      </c>
      <c r="C106" s="3" t="s">
        <v>38</v>
      </c>
      <c r="D106" s="3" t="s">
        <v>20</v>
      </c>
      <c r="E106" s="3">
        <v>430</v>
      </c>
      <c r="F106" s="3">
        <v>65</v>
      </c>
      <c r="G106" s="3">
        <v>75</v>
      </c>
      <c r="H106" s="3">
        <v>105</v>
      </c>
      <c r="I106" s="3">
        <v>35</v>
      </c>
      <c r="J106" s="3">
        <v>65</v>
      </c>
      <c r="K106" s="3">
        <v>85</v>
      </c>
      <c r="L106" s="3">
        <v>2</v>
      </c>
      <c r="M106" s="3" t="s">
        <v>453</v>
      </c>
    </row>
    <row r="107" spans="1:13" x14ac:dyDescent="0.3">
      <c r="A107" s="3">
        <v>106</v>
      </c>
      <c r="B107" s="3" t="s">
        <v>135</v>
      </c>
      <c r="C107" s="3" t="s">
        <v>70</v>
      </c>
      <c r="D107" s="3" t="s">
        <v>38</v>
      </c>
      <c r="E107" s="3">
        <v>510</v>
      </c>
      <c r="F107" s="3">
        <v>75</v>
      </c>
      <c r="G107" s="3">
        <v>85</v>
      </c>
      <c r="H107" s="3">
        <v>200</v>
      </c>
      <c r="I107" s="3">
        <v>55</v>
      </c>
      <c r="J107" s="3">
        <v>65</v>
      </c>
      <c r="K107" s="3">
        <v>30</v>
      </c>
      <c r="L107" s="3">
        <v>2</v>
      </c>
      <c r="M107" s="3" t="s">
        <v>453</v>
      </c>
    </row>
    <row r="108" spans="1:13" x14ac:dyDescent="0.3">
      <c r="A108" s="3">
        <v>107</v>
      </c>
      <c r="B108" s="3" t="s">
        <v>136</v>
      </c>
      <c r="C108" s="3" t="s">
        <v>70</v>
      </c>
      <c r="D108" s="3" t="s">
        <v>38</v>
      </c>
      <c r="E108" s="3">
        <v>610</v>
      </c>
      <c r="F108" s="3">
        <v>75</v>
      </c>
      <c r="G108" s="3">
        <v>125</v>
      </c>
      <c r="H108" s="3">
        <v>230</v>
      </c>
      <c r="I108" s="3">
        <v>55</v>
      </c>
      <c r="J108" s="3">
        <v>95</v>
      </c>
      <c r="K108" s="3">
        <v>30</v>
      </c>
      <c r="L108" s="3">
        <v>2</v>
      </c>
      <c r="M108" s="3" t="s">
        <v>453</v>
      </c>
    </row>
    <row r="109" spans="1:13" x14ac:dyDescent="0.3">
      <c r="A109" s="3">
        <v>108</v>
      </c>
      <c r="B109" s="3" t="s">
        <v>137</v>
      </c>
      <c r="C109" s="3" t="s">
        <v>53</v>
      </c>
      <c r="D109" s="3" t="s">
        <v>14</v>
      </c>
      <c r="E109" s="3">
        <v>430</v>
      </c>
      <c r="F109" s="3">
        <v>65</v>
      </c>
      <c r="G109" s="3">
        <v>95</v>
      </c>
      <c r="H109" s="3">
        <v>75</v>
      </c>
      <c r="I109" s="3">
        <v>55</v>
      </c>
      <c r="J109" s="3">
        <v>55</v>
      </c>
      <c r="K109" s="3">
        <v>85</v>
      </c>
      <c r="L109" s="3">
        <v>2</v>
      </c>
      <c r="M109" s="3" t="s">
        <v>453</v>
      </c>
    </row>
    <row r="110" spans="1:13" x14ac:dyDescent="0.3">
      <c r="A110" s="3">
        <v>109</v>
      </c>
      <c r="B110" s="3" t="s">
        <v>138</v>
      </c>
      <c r="C110" s="3" t="s">
        <v>25</v>
      </c>
      <c r="D110" s="3" t="s">
        <v>70</v>
      </c>
      <c r="E110" s="3">
        <v>500</v>
      </c>
      <c r="F110" s="3">
        <v>70</v>
      </c>
      <c r="G110" s="3">
        <v>130</v>
      </c>
      <c r="H110" s="3">
        <v>100</v>
      </c>
      <c r="I110" s="3">
        <v>55</v>
      </c>
      <c r="J110" s="3">
        <v>80</v>
      </c>
      <c r="K110" s="3">
        <v>65</v>
      </c>
      <c r="L110" s="3">
        <v>2</v>
      </c>
      <c r="M110" s="3" t="s">
        <v>453</v>
      </c>
    </row>
    <row r="111" spans="1:13" x14ac:dyDescent="0.3">
      <c r="A111" s="3">
        <v>110</v>
      </c>
      <c r="B111" s="3" t="s">
        <v>139</v>
      </c>
      <c r="C111" s="3" t="s">
        <v>25</v>
      </c>
      <c r="D111" s="3" t="s">
        <v>70</v>
      </c>
      <c r="E111" s="3">
        <v>600</v>
      </c>
      <c r="F111" s="3">
        <v>70</v>
      </c>
      <c r="G111" s="3">
        <v>150</v>
      </c>
      <c r="H111" s="3">
        <v>140</v>
      </c>
      <c r="I111" s="3">
        <v>65</v>
      </c>
      <c r="J111" s="3">
        <v>100</v>
      </c>
      <c r="K111" s="3">
        <v>75</v>
      </c>
      <c r="L111" s="3">
        <v>2</v>
      </c>
      <c r="M111" s="3" t="s">
        <v>453</v>
      </c>
    </row>
    <row r="112" spans="1:13" x14ac:dyDescent="0.3">
      <c r="A112" s="3">
        <v>111</v>
      </c>
      <c r="B112" s="3" t="s">
        <v>140</v>
      </c>
      <c r="C112" s="3" t="s">
        <v>25</v>
      </c>
      <c r="D112" s="3" t="s">
        <v>61</v>
      </c>
      <c r="E112" s="3">
        <v>505</v>
      </c>
      <c r="F112" s="3">
        <v>20</v>
      </c>
      <c r="G112" s="3">
        <v>10</v>
      </c>
      <c r="H112" s="3">
        <v>230</v>
      </c>
      <c r="I112" s="3">
        <v>10</v>
      </c>
      <c r="J112" s="3">
        <v>230</v>
      </c>
      <c r="K112" s="3">
        <v>5</v>
      </c>
      <c r="L112" s="3">
        <v>2</v>
      </c>
      <c r="M112" s="3" t="s">
        <v>453</v>
      </c>
    </row>
    <row r="113" spans="1:13" x14ac:dyDescent="0.3">
      <c r="A113" s="3">
        <v>112</v>
      </c>
      <c r="B113" s="3" t="s">
        <v>141</v>
      </c>
      <c r="C113" s="3" t="s">
        <v>25</v>
      </c>
      <c r="D113" s="3" t="s">
        <v>54</v>
      </c>
      <c r="E113" s="3">
        <v>500</v>
      </c>
      <c r="F113" s="3">
        <v>80</v>
      </c>
      <c r="G113" s="3">
        <v>125</v>
      </c>
      <c r="H113" s="3">
        <v>75</v>
      </c>
      <c r="I113" s="3">
        <v>40</v>
      </c>
      <c r="J113" s="3">
        <v>95</v>
      </c>
      <c r="K113" s="3">
        <v>85</v>
      </c>
      <c r="L113" s="3">
        <v>2</v>
      </c>
      <c r="M113" s="3" t="s">
        <v>453</v>
      </c>
    </row>
    <row r="114" spans="1:13" x14ac:dyDescent="0.3">
      <c r="A114" s="3">
        <v>113</v>
      </c>
      <c r="B114" s="3" t="s">
        <v>142</v>
      </c>
      <c r="C114" s="3" t="s">
        <v>25</v>
      </c>
      <c r="D114" s="3" t="s">
        <v>54</v>
      </c>
      <c r="E114" s="3">
        <v>600</v>
      </c>
      <c r="F114" s="3">
        <v>80</v>
      </c>
      <c r="G114" s="3">
        <v>185</v>
      </c>
      <c r="H114" s="3">
        <v>115</v>
      </c>
      <c r="I114" s="3">
        <v>40</v>
      </c>
      <c r="J114" s="3">
        <v>105</v>
      </c>
      <c r="K114" s="3">
        <v>75</v>
      </c>
      <c r="L114" s="3">
        <v>2</v>
      </c>
      <c r="M114" s="3" t="s">
        <v>453</v>
      </c>
    </row>
    <row r="115" spans="1:13" x14ac:dyDescent="0.3">
      <c r="A115" s="3">
        <v>114</v>
      </c>
      <c r="B115" s="3" t="s">
        <v>143</v>
      </c>
      <c r="C115" s="3" t="s">
        <v>95</v>
      </c>
      <c r="D115" s="3" t="s">
        <v>76</v>
      </c>
      <c r="E115" s="3">
        <v>430</v>
      </c>
      <c r="F115" s="3">
        <v>55</v>
      </c>
      <c r="G115" s="3">
        <v>95</v>
      </c>
      <c r="H115" s="3">
        <v>55</v>
      </c>
      <c r="I115" s="3">
        <v>35</v>
      </c>
      <c r="J115" s="3">
        <v>75</v>
      </c>
      <c r="K115" s="3">
        <v>115</v>
      </c>
      <c r="L115" s="3">
        <v>2</v>
      </c>
      <c r="M115" s="3" t="s">
        <v>453</v>
      </c>
    </row>
    <row r="116" spans="1:13" x14ac:dyDescent="0.3">
      <c r="A116" s="3">
        <v>115</v>
      </c>
      <c r="B116" s="3" t="s">
        <v>144</v>
      </c>
      <c r="C116" s="3" t="s">
        <v>19</v>
      </c>
      <c r="D116" s="3" t="s">
        <v>61</v>
      </c>
      <c r="E116" s="3">
        <v>410</v>
      </c>
      <c r="F116" s="3">
        <v>50</v>
      </c>
      <c r="G116" s="3">
        <v>50</v>
      </c>
      <c r="H116" s="3">
        <v>120</v>
      </c>
      <c r="I116" s="3">
        <v>80</v>
      </c>
      <c r="J116" s="3">
        <v>80</v>
      </c>
      <c r="K116" s="3">
        <v>30</v>
      </c>
      <c r="L116" s="3">
        <v>2</v>
      </c>
      <c r="M116" s="3" t="s">
        <v>453</v>
      </c>
    </row>
    <row r="117" spans="1:13" x14ac:dyDescent="0.3">
      <c r="A117" s="3">
        <v>116</v>
      </c>
      <c r="B117" s="3" t="s">
        <v>145</v>
      </c>
      <c r="C117" s="3" t="s">
        <v>76</v>
      </c>
      <c r="D117" s="3" t="s">
        <v>38</v>
      </c>
      <c r="E117" s="3">
        <v>250</v>
      </c>
      <c r="F117" s="3">
        <v>50</v>
      </c>
      <c r="G117" s="3">
        <v>50</v>
      </c>
      <c r="H117" s="3">
        <v>40</v>
      </c>
      <c r="I117" s="3">
        <v>30</v>
      </c>
      <c r="J117" s="3">
        <v>30</v>
      </c>
      <c r="K117" s="3">
        <v>50</v>
      </c>
      <c r="L117" s="3">
        <v>2</v>
      </c>
      <c r="M117" s="3" t="s">
        <v>453</v>
      </c>
    </row>
    <row r="118" spans="1:13" x14ac:dyDescent="0.3">
      <c r="A118" s="3">
        <v>117</v>
      </c>
      <c r="B118" s="3" t="s">
        <v>146</v>
      </c>
      <c r="C118" s="3" t="s">
        <v>76</v>
      </c>
      <c r="D118" s="3" t="s">
        <v>38</v>
      </c>
      <c r="E118" s="3">
        <v>450</v>
      </c>
      <c r="F118" s="3">
        <v>100</v>
      </c>
      <c r="G118" s="3">
        <v>100</v>
      </c>
      <c r="H118" s="3">
        <v>80</v>
      </c>
      <c r="I118" s="3">
        <v>60</v>
      </c>
      <c r="J118" s="3">
        <v>60</v>
      </c>
      <c r="K118" s="3">
        <v>50</v>
      </c>
      <c r="L118" s="3">
        <v>2</v>
      </c>
      <c r="M118" s="3" t="s">
        <v>453</v>
      </c>
    </row>
    <row r="119" spans="1:13" x14ac:dyDescent="0.3">
      <c r="A119" s="3">
        <v>118</v>
      </c>
      <c r="B119" s="3" t="s">
        <v>147</v>
      </c>
      <c r="C119" s="3" t="s">
        <v>53</v>
      </c>
      <c r="D119" s="3" t="s">
        <v>61</v>
      </c>
      <c r="E119" s="3">
        <v>380</v>
      </c>
      <c r="F119" s="3">
        <v>55</v>
      </c>
      <c r="G119" s="3">
        <v>55</v>
      </c>
      <c r="H119" s="3">
        <v>85</v>
      </c>
      <c r="I119" s="3">
        <v>65</v>
      </c>
      <c r="J119" s="3">
        <v>85</v>
      </c>
      <c r="K119" s="3">
        <v>35</v>
      </c>
      <c r="L119" s="3">
        <v>2</v>
      </c>
      <c r="M119" s="3" t="s">
        <v>453</v>
      </c>
    </row>
    <row r="120" spans="1:13" x14ac:dyDescent="0.3">
      <c r="A120" s="3">
        <v>119</v>
      </c>
      <c r="B120" s="3" t="s">
        <v>148</v>
      </c>
      <c r="C120" s="3" t="s">
        <v>76</v>
      </c>
      <c r="D120" s="3" t="s">
        <v>20</v>
      </c>
      <c r="E120" s="3">
        <v>330</v>
      </c>
      <c r="F120" s="3">
        <v>45</v>
      </c>
      <c r="G120" s="3">
        <v>55</v>
      </c>
      <c r="H120" s="3">
        <v>45</v>
      </c>
      <c r="I120" s="3">
        <v>65</v>
      </c>
      <c r="J120" s="3">
        <v>45</v>
      </c>
      <c r="K120" s="3">
        <v>75</v>
      </c>
      <c r="L120" s="3">
        <v>2</v>
      </c>
      <c r="M120" s="3" t="s">
        <v>453</v>
      </c>
    </row>
    <row r="121" spans="1:13" x14ac:dyDescent="0.3">
      <c r="A121" s="3">
        <v>120</v>
      </c>
      <c r="B121" s="3" t="s">
        <v>149</v>
      </c>
      <c r="C121" s="3" t="s">
        <v>53</v>
      </c>
      <c r="D121" s="3" t="s">
        <v>20</v>
      </c>
      <c r="E121" s="3">
        <v>465</v>
      </c>
      <c r="F121" s="3">
        <v>65</v>
      </c>
      <c r="G121" s="3">
        <v>40</v>
      </c>
      <c r="H121" s="3">
        <v>70</v>
      </c>
      <c r="I121" s="3">
        <v>80</v>
      </c>
      <c r="J121" s="3">
        <v>140</v>
      </c>
      <c r="K121" s="3">
        <v>70</v>
      </c>
      <c r="L121" s="3">
        <v>2</v>
      </c>
      <c r="M121" s="3" t="s">
        <v>453</v>
      </c>
    </row>
    <row r="122" spans="1:13" x14ac:dyDescent="0.3">
      <c r="A122" s="3">
        <v>121</v>
      </c>
      <c r="B122" s="3" t="s">
        <v>150</v>
      </c>
      <c r="C122" s="3" t="s">
        <v>70</v>
      </c>
      <c r="D122" s="3" t="s">
        <v>20</v>
      </c>
      <c r="E122" s="3">
        <v>465</v>
      </c>
      <c r="F122" s="3">
        <v>65</v>
      </c>
      <c r="G122" s="3">
        <v>80</v>
      </c>
      <c r="H122" s="3">
        <v>140</v>
      </c>
      <c r="I122" s="3">
        <v>40</v>
      </c>
      <c r="J122" s="3">
        <v>70</v>
      </c>
      <c r="K122" s="3">
        <v>70</v>
      </c>
      <c r="L122" s="3">
        <v>2</v>
      </c>
      <c r="M122" s="3" t="s">
        <v>453</v>
      </c>
    </row>
    <row r="123" spans="1:13" x14ac:dyDescent="0.3">
      <c r="A123" s="3">
        <v>122</v>
      </c>
      <c r="B123" s="3" t="s">
        <v>151</v>
      </c>
      <c r="C123" s="3" t="s">
        <v>95</v>
      </c>
      <c r="D123" s="3" t="s">
        <v>19</v>
      </c>
      <c r="E123" s="3">
        <v>330</v>
      </c>
      <c r="F123" s="3">
        <v>45</v>
      </c>
      <c r="G123" s="3">
        <v>60</v>
      </c>
      <c r="H123" s="3">
        <v>30</v>
      </c>
      <c r="I123" s="3">
        <v>80</v>
      </c>
      <c r="J123" s="3">
        <v>50</v>
      </c>
      <c r="K123" s="3">
        <v>65</v>
      </c>
      <c r="L123" s="3">
        <v>2</v>
      </c>
      <c r="M123" s="3" t="s">
        <v>453</v>
      </c>
    </row>
    <row r="124" spans="1:13" x14ac:dyDescent="0.3">
      <c r="A124" s="3">
        <v>123</v>
      </c>
      <c r="B124" s="3" t="s">
        <v>152</v>
      </c>
      <c r="C124" s="3" t="s">
        <v>95</v>
      </c>
      <c r="D124" s="3" t="s">
        <v>19</v>
      </c>
      <c r="E124" s="3">
        <v>500</v>
      </c>
      <c r="F124" s="3">
        <v>75</v>
      </c>
      <c r="G124" s="3">
        <v>90</v>
      </c>
      <c r="H124" s="3">
        <v>50</v>
      </c>
      <c r="I124" s="3">
        <v>110</v>
      </c>
      <c r="J124" s="3">
        <v>80</v>
      </c>
      <c r="K124" s="3">
        <v>95</v>
      </c>
      <c r="L124" s="3">
        <v>2</v>
      </c>
      <c r="M124" s="3" t="s">
        <v>453</v>
      </c>
    </row>
    <row r="125" spans="1:13" x14ac:dyDescent="0.3">
      <c r="A125" s="3">
        <v>124</v>
      </c>
      <c r="B125" s="3" t="s">
        <v>153</v>
      </c>
      <c r="C125" s="3" t="s">
        <v>95</v>
      </c>
      <c r="D125" s="3" t="s">
        <v>19</v>
      </c>
      <c r="E125" s="3">
        <v>600</v>
      </c>
      <c r="F125" s="3">
        <v>75</v>
      </c>
      <c r="G125" s="3">
        <v>90</v>
      </c>
      <c r="H125" s="3">
        <v>90</v>
      </c>
      <c r="I125" s="3">
        <v>140</v>
      </c>
      <c r="J125" s="3">
        <v>90</v>
      </c>
      <c r="K125" s="3">
        <v>115</v>
      </c>
      <c r="L125" s="3">
        <v>2</v>
      </c>
      <c r="M125" s="3" t="s">
        <v>453</v>
      </c>
    </row>
    <row r="126" spans="1:13" x14ac:dyDescent="0.3">
      <c r="A126" s="3">
        <v>125</v>
      </c>
      <c r="B126" s="3" t="s">
        <v>154</v>
      </c>
      <c r="C126" s="3" t="s">
        <v>53</v>
      </c>
      <c r="D126" s="3" t="s">
        <v>22</v>
      </c>
      <c r="E126" s="3">
        <v>540</v>
      </c>
      <c r="F126" s="3">
        <v>75</v>
      </c>
      <c r="G126" s="3">
        <v>95</v>
      </c>
      <c r="H126" s="3">
        <v>95</v>
      </c>
      <c r="I126" s="3">
        <v>95</v>
      </c>
      <c r="J126" s="3">
        <v>95</v>
      </c>
      <c r="K126" s="3">
        <v>85</v>
      </c>
      <c r="L126" s="3">
        <v>2</v>
      </c>
      <c r="M126" s="3" t="s">
        <v>453</v>
      </c>
    </row>
    <row r="127" spans="1:13" x14ac:dyDescent="0.3">
      <c r="A127" s="3">
        <v>126</v>
      </c>
      <c r="B127" s="3" t="s">
        <v>155</v>
      </c>
      <c r="C127" s="3" t="s">
        <v>76</v>
      </c>
      <c r="D127" s="3" t="s">
        <v>65</v>
      </c>
      <c r="E127" s="3">
        <v>305</v>
      </c>
      <c r="F127" s="3">
        <v>45</v>
      </c>
      <c r="G127" s="3">
        <v>30</v>
      </c>
      <c r="H127" s="3">
        <v>15</v>
      </c>
      <c r="I127" s="3">
        <v>85</v>
      </c>
      <c r="J127" s="3">
        <v>65</v>
      </c>
      <c r="K127" s="3">
        <v>65</v>
      </c>
      <c r="L127" s="3">
        <v>2</v>
      </c>
      <c r="M127" s="3" t="s">
        <v>453</v>
      </c>
    </row>
    <row r="128" spans="1:13" x14ac:dyDescent="0.3">
      <c r="A128" s="3">
        <v>127</v>
      </c>
      <c r="B128" s="3" t="s">
        <v>156</v>
      </c>
      <c r="C128" s="3" t="s">
        <v>61</v>
      </c>
      <c r="D128" s="3" t="s">
        <v>38</v>
      </c>
      <c r="E128" s="3">
        <v>300</v>
      </c>
      <c r="F128" s="3">
        <v>50</v>
      </c>
      <c r="G128" s="3">
        <v>64</v>
      </c>
      <c r="H128" s="3">
        <v>50</v>
      </c>
      <c r="I128" s="3">
        <v>45</v>
      </c>
      <c r="J128" s="3">
        <v>50</v>
      </c>
      <c r="K128" s="3">
        <v>41</v>
      </c>
      <c r="L128" s="3">
        <v>2</v>
      </c>
      <c r="M128" s="3" t="s">
        <v>453</v>
      </c>
    </row>
    <row r="129" spans="1:13" x14ac:dyDescent="0.3">
      <c r="A129" s="3">
        <v>128</v>
      </c>
      <c r="B129" s="3" t="s">
        <v>157</v>
      </c>
      <c r="C129" s="3" t="s">
        <v>61</v>
      </c>
      <c r="D129" s="3" t="s">
        <v>38</v>
      </c>
      <c r="E129" s="3">
        <v>410</v>
      </c>
      <c r="F129" s="3">
        <v>70</v>
      </c>
      <c r="G129" s="3">
        <v>84</v>
      </c>
      <c r="H129" s="3">
        <v>70</v>
      </c>
      <c r="I129" s="3">
        <v>65</v>
      </c>
      <c r="J129" s="3">
        <v>70</v>
      </c>
      <c r="K129" s="3">
        <v>51</v>
      </c>
      <c r="L129" s="3">
        <v>2</v>
      </c>
      <c r="M129" s="3" t="s">
        <v>453</v>
      </c>
    </row>
    <row r="130" spans="1:13" x14ac:dyDescent="0.3">
      <c r="A130" s="3">
        <v>129</v>
      </c>
      <c r="B130" s="3" t="s">
        <v>158</v>
      </c>
      <c r="C130" s="3" t="s">
        <v>61</v>
      </c>
      <c r="D130" s="3" t="s">
        <v>95</v>
      </c>
      <c r="E130" s="3">
        <v>600</v>
      </c>
      <c r="F130" s="3">
        <v>100</v>
      </c>
      <c r="G130" s="3">
        <v>134</v>
      </c>
      <c r="H130" s="3">
        <v>110</v>
      </c>
      <c r="I130" s="3">
        <v>95</v>
      </c>
      <c r="J130" s="3">
        <v>100</v>
      </c>
      <c r="K130" s="3">
        <v>61</v>
      </c>
      <c r="L130" s="3">
        <v>2</v>
      </c>
      <c r="M130" s="3" t="s">
        <v>453</v>
      </c>
    </row>
    <row r="131" spans="1:13" x14ac:dyDescent="0.3">
      <c r="A131" s="3">
        <v>130</v>
      </c>
      <c r="B131" s="3" t="s">
        <v>159</v>
      </c>
      <c r="C131" s="3" t="s">
        <v>61</v>
      </c>
      <c r="D131" s="3" t="s">
        <v>95</v>
      </c>
      <c r="E131" s="3">
        <v>700</v>
      </c>
      <c r="F131" s="3">
        <v>100</v>
      </c>
      <c r="G131" s="3">
        <v>164</v>
      </c>
      <c r="H131" s="3">
        <v>150</v>
      </c>
      <c r="I131" s="3">
        <v>95</v>
      </c>
      <c r="J131" s="3">
        <v>120</v>
      </c>
      <c r="K131" s="3">
        <v>71</v>
      </c>
      <c r="L131" s="3">
        <v>2</v>
      </c>
      <c r="M131" s="3" t="s">
        <v>453</v>
      </c>
    </row>
    <row r="132" spans="1:13" x14ac:dyDescent="0.3">
      <c r="A132" s="3">
        <v>131</v>
      </c>
      <c r="B132" s="3" t="s">
        <v>160</v>
      </c>
      <c r="C132" s="3" t="s">
        <v>65</v>
      </c>
      <c r="D132" s="3" t="s">
        <v>20</v>
      </c>
      <c r="E132" s="3">
        <v>680</v>
      </c>
      <c r="F132" s="3">
        <v>106</v>
      </c>
      <c r="G132" s="3">
        <v>90</v>
      </c>
      <c r="H132" s="3">
        <v>130</v>
      </c>
      <c r="I132" s="3">
        <v>90</v>
      </c>
      <c r="J132" s="3">
        <v>154</v>
      </c>
      <c r="K132" s="3">
        <v>110</v>
      </c>
      <c r="L132" s="3">
        <v>2</v>
      </c>
      <c r="M132" s="3" t="s">
        <v>451</v>
      </c>
    </row>
    <row r="133" spans="1:13" x14ac:dyDescent="0.3">
      <c r="A133" s="3">
        <v>132</v>
      </c>
      <c r="B133" s="3" t="s">
        <v>161</v>
      </c>
      <c r="C133" s="3" t="s">
        <v>19</v>
      </c>
      <c r="D133" s="3" t="s">
        <v>20</v>
      </c>
      <c r="E133" s="3">
        <v>680</v>
      </c>
      <c r="F133" s="3">
        <v>106</v>
      </c>
      <c r="G133" s="3">
        <v>130</v>
      </c>
      <c r="H133" s="3">
        <v>90</v>
      </c>
      <c r="I133" s="3">
        <v>110</v>
      </c>
      <c r="J133" s="3">
        <v>154</v>
      </c>
      <c r="K133" s="3">
        <v>90</v>
      </c>
      <c r="L133" s="3">
        <v>2</v>
      </c>
      <c r="M133" s="3" t="s">
        <v>451</v>
      </c>
    </row>
    <row r="134" spans="1:13" x14ac:dyDescent="0.3">
      <c r="A134" s="3">
        <v>133</v>
      </c>
      <c r="B134" s="3" t="s">
        <v>162</v>
      </c>
      <c r="C134" s="3" t="s">
        <v>65</v>
      </c>
      <c r="D134" s="3" t="s">
        <v>13</v>
      </c>
      <c r="E134" s="3">
        <v>600</v>
      </c>
      <c r="F134" s="3">
        <v>100</v>
      </c>
      <c r="G134" s="3">
        <v>100</v>
      </c>
      <c r="H134" s="3">
        <v>100</v>
      </c>
      <c r="I134" s="3">
        <v>100</v>
      </c>
      <c r="J134" s="3">
        <v>100</v>
      </c>
      <c r="K134" s="3">
        <v>100</v>
      </c>
      <c r="L134" s="3">
        <v>2</v>
      </c>
      <c r="M134" s="3" t="s">
        <v>453</v>
      </c>
    </row>
    <row r="135" spans="1:13" x14ac:dyDescent="0.3">
      <c r="A135" s="3">
        <v>134</v>
      </c>
      <c r="B135" s="3" t="s">
        <v>163</v>
      </c>
      <c r="C135" s="3" t="s">
        <v>13</v>
      </c>
      <c r="D135" s="3" t="s">
        <v>22</v>
      </c>
      <c r="E135" s="3">
        <v>630</v>
      </c>
      <c r="F135" s="3">
        <v>70</v>
      </c>
      <c r="G135" s="3">
        <v>110</v>
      </c>
      <c r="H135" s="3">
        <v>75</v>
      </c>
      <c r="I135" s="3">
        <v>145</v>
      </c>
      <c r="J135" s="3">
        <v>85</v>
      </c>
      <c r="K135" s="3">
        <v>145</v>
      </c>
      <c r="L135" s="3">
        <v>3</v>
      </c>
      <c r="M135" s="3" t="s">
        <v>453</v>
      </c>
    </row>
    <row r="136" spans="1:13" x14ac:dyDescent="0.3">
      <c r="A136" s="3">
        <v>135</v>
      </c>
      <c r="B136" s="3" t="s">
        <v>164</v>
      </c>
      <c r="C136" s="3" t="s">
        <v>19</v>
      </c>
      <c r="D136" s="3" t="s">
        <v>54</v>
      </c>
      <c r="E136" s="3">
        <v>405</v>
      </c>
      <c r="F136" s="3">
        <v>60</v>
      </c>
      <c r="G136" s="3">
        <v>85</v>
      </c>
      <c r="H136" s="3">
        <v>60</v>
      </c>
      <c r="I136" s="3">
        <v>85</v>
      </c>
      <c r="J136" s="3">
        <v>60</v>
      </c>
      <c r="K136" s="3">
        <v>55</v>
      </c>
      <c r="L136" s="3">
        <v>3</v>
      </c>
      <c r="M136" s="3" t="s">
        <v>453</v>
      </c>
    </row>
    <row r="137" spans="1:13" x14ac:dyDescent="0.3">
      <c r="A137" s="3">
        <v>136</v>
      </c>
      <c r="B137" s="3" t="s">
        <v>165</v>
      </c>
      <c r="C137" s="3" t="s">
        <v>19</v>
      </c>
      <c r="D137" s="3" t="s">
        <v>54</v>
      </c>
      <c r="E137" s="3">
        <v>530</v>
      </c>
      <c r="F137" s="3">
        <v>80</v>
      </c>
      <c r="G137" s="3">
        <v>120</v>
      </c>
      <c r="H137" s="3">
        <v>70</v>
      </c>
      <c r="I137" s="3">
        <v>110</v>
      </c>
      <c r="J137" s="3">
        <v>70</v>
      </c>
      <c r="K137" s="3">
        <v>80</v>
      </c>
      <c r="L137" s="3">
        <v>3</v>
      </c>
      <c r="M137" s="3" t="s">
        <v>453</v>
      </c>
    </row>
    <row r="138" spans="1:13" x14ac:dyDescent="0.3">
      <c r="A138" s="3">
        <v>137</v>
      </c>
      <c r="B138" s="3" t="s">
        <v>166</v>
      </c>
      <c r="C138" s="3" t="s">
        <v>19</v>
      </c>
      <c r="D138" s="3" t="s">
        <v>54</v>
      </c>
      <c r="E138" s="3">
        <v>630</v>
      </c>
      <c r="F138" s="3">
        <v>80</v>
      </c>
      <c r="G138" s="3">
        <v>160</v>
      </c>
      <c r="H138" s="3">
        <v>80</v>
      </c>
      <c r="I138" s="3">
        <v>130</v>
      </c>
      <c r="J138" s="3">
        <v>80</v>
      </c>
      <c r="K138" s="3">
        <v>100</v>
      </c>
      <c r="L138" s="3">
        <v>3</v>
      </c>
      <c r="M138" s="3" t="s">
        <v>453</v>
      </c>
    </row>
    <row r="139" spans="1:13" x14ac:dyDescent="0.3">
      <c r="A139" s="3">
        <v>138</v>
      </c>
      <c r="B139" s="3" t="s">
        <v>167</v>
      </c>
      <c r="C139" s="3" t="s">
        <v>53</v>
      </c>
      <c r="D139" s="3" t="s">
        <v>38</v>
      </c>
      <c r="E139" s="3">
        <v>405</v>
      </c>
      <c r="F139" s="3">
        <v>70</v>
      </c>
      <c r="G139" s="3">
        <v>85</v>
      </c>
      <c r="H139" s="3">
        <v>70</v>
      </c>
      <c r="I139" s="3">
        <v>60</v>
      </c>
      <c r="J139" s="3">
        <v>70</v>
      </c>
      <c r="K139" s="3">
        <v>50</v>
      </c>
      <c r="L139" s="3">
        <v>3</v>
      </c>
      <c r="M139" s="3" t="s">
        <v>453</v>
      </c>
    </row>
    <row r="140" spans="1:13" x14ac:dyDescent="0.3">
      <c r="A140" s="3">
        <v>139</v>
      </c>
      <c r="B140" s="3" t="s">
        <v>168</v>
      </c>
      <c r="C140" s="3" t="s">
        <v>53</v>
      </c>
      <c r="D140" s="3" t="s">
        <v>38</v>
      </c>
      <c r="E140" s="3">
        <v>535</v>
      </c>
      <c r="F140" s="3">
        <v>100</v>
      </c>
      <c r="G140" s="3">
        <v>110</v>
      </c>
      <c r="H140" s="3">
        <v>90</v>
      </c>
      <c r="I140" s="3">
        <v>85</v>
      </c>
      <c r="J140" s="3">
        <v>90</v>
      </c>
      <c r="K140" s="3">
        <v>60</v>
      </c>
      <c r="L140" s="3">
        <v>3</v>
      </c>
      <c r="M140" s="3" t="s">
        <v>453</v>
      </c>
    </row>
    <row r="141" spans="1:13" x14ac:dyDescent="0.3">
      <c r="A141" s="3">
        <v>140</v>
      </c>
      <c r="B141" s="3" t="s">
        <v>169</v>
      </c>
      <c r="C141" s="3" t="s">
        <v>53</v>
      </c>
      <c r="D141" s="3" t="s">
        <v>38</v>
      </c>
      <c r="E141" s="3">
        <v>635</v>
      </c>
      <c r="F141" s="3">
        <v>100</v>
      </c>
      <c r="G141" s="3">
        <v>150</v>
      </c>
      <c r="H141" s="3">
        <v>110</v>
      </c>
      <c r="I141" s="3">
        <v>95</v>
      </c>
      <c r="J141" s="3">
        <v>110</v>
      </c>
      <c r="K141" s="3">
        <v>70</v>
      </c>
      <c r="L141" s="3">
        <v>3</v>
      </c>
      <c r="M141" s="3" t="s">
        <v>453</v>
      </c>
    </row>
    <row r="142" spans="1:13" x14ac:dyDescent="0.3">
      <c r="A142" s="3">
        <v>141</v>
      </c>
      <c r="B142" s="3" t="s">
        <v>170</v>
      </c>
      <c r="C142" s="3" t="s">
        <v>25</v>
      </c>
      <c r="D142" s="3" t="s">
        <v>20</v>
      </c>
      <c r="E142" s="3">
        <v>395</v>
      </c>
      <c r="F142" s="3">
        <v>60</v>
      </c>
      <c r="G142" s="3">
        <v>70</v>
      </c>
      <c r="H142" s="3">
        <v>50</v>
      </c>
      <c r="I142" s="3">
        <v>100</v>
      </c>
      <c r="J142" s="3">
        <v>50</v>
      </c>
      <c r="K142" s="3">
        <v>65</v>
      </c>
      <c r="L142" s="3">
        <v>3</v>
      </c>
      <c r="M142" s="3" t="s">
        <v>453</v>
      </c>
    </row>
    <row r="143" spans="1:13" x14ac:dyDescent="0.3">
      <c r="A143" s="3">
        <v>142</v>
      </c>
      <c r="B143" s="3" t="s">
        <v>171</v>
      </c>
      <c r="C143" s="3" t="s">
        <v>25</v>
      </c>
      <c r="D143" s="3" t="s">
        <v>14</v>
      </c>
      <c r="E143" s="3">
        <v>385</v>
      </c>
      <c r="F143" s="3">
        <v>60</v>
      </c>
      <c r="G143" s="3">
        <v>50</v>
      </c>
      <c r="H143" s="3">
        <v>70</v>
      </c>
      <c r="I143" s="3">
        <v>50</v>
      </c>
      <c r="J143" s="3">
        <v>90</v>
      </c>
      <c r="K143" s="3">
        <v>65</v>
      </c>
      <c r="L143" s="3">
        <v>3</v>
      </c>
      <c r="M143" s="3" t="s">
        <v>453</v>
      </c>
    </row>
    <row r="144" spans="1:13" x14ac:dyDescent="0.3">
      <c r="A144" s="3">
        <v>143</v>
      </c>
      <c r="B144" s="3" t="s">
        <v>172</v>
      </c>
      <c r="C144" s="3" t="s">
        <v>53</v>
      </c>
      <c r="D144" s="3" t="s">
        <v>13</v>
      </c>
      <c r="E144" s="3">
        <v>220</v>
      </c>
      <c r="F144" s="3">
        <v>40</v>
      </c>
      <c r="G144" s="3">
        <v>30</v>
      </c>
      <c r="H144" s="3">
        <v>30</v>
      </c>
      <c r="I144" s="3">
        <v>40</v>
      </c>
      <c r="J144" s="3">
        <v>50</v>
      </c>
      <c r="K144" s="3">
        <v>30</v>
      </c>
      <c r="L144" s="3">
        <v>3</v>
      </c>
      <c r="M144" s="3" t="s">
        <v>453</v>
      </c>
    </row>
    <row r="145" spans="1:13" x14ac:dyDescent="0.3">
      <c r="A145" s="3">
        <v>144</v>
      </c>
      <c r="B145" s="3" t="s">
        <v>173</v>
      </c>
      <c r="C145" s="3" t="s">
        <v>53</v>
      </c>
      <c r="D145" s="3" t="s">
        <v>13</v>
      </c>
      <c r="E145" s="3">
        <v>340</v>
      </c>
      <c r="F145" s="3">
        <v>60</v>
      </c>
      <c r="G145" s="3">
        <v>50</v>
      </c>
      <c r="H145" s="3">
        <v>50</v>
      </c>
      <c r="I145" s="3">
        <v>60</v>
      </c>
      <c r="J145" s="3">
        <v>70</v>
      </c>
      <c r="K145" s="3">
        <v>50</v>
      </c>
      <c r="L145" s="3">
        <v>3</v>
      </c>
      <c r="M145" s="3" t="s">
        <v>453</v>
      </c>
    </row>
    <row r="146" spans="1:13" x14ac:dyDescent="0.3">
      <c r="A146" s="3">
        <v>145</v>
      </c>
      <c r="B146" s="3" t="s">
        <v>174</v>
      </c>
      <c r="C146" s="3" t="s">
        <v>53</v>
      </c>
      <c r="D146" s="3" t="s">
        <v>13</v>
      </c>
      <c r="E146" s="3">
        <v>480</v>
      </c>
      <c r="F146" s="3">
        <v>80</v>
      </c>
      <c r="G146" s="3">
        <v>70</v>
      </c>
      <c r="H146" s="3">
        <v>70</v>
      </c>
      <c r="I146" s="3">
        <v>90</v>
      </c>
      <c r="J146" s="3">
        <v>100</v>
      </c>
      <c r="K146" s="3">
        <v>70</v>
      </c>
      <c r="L146" s="3">
        <v>3</v>
      </c>
      <c r="M146" s="3" t="s">
        <v>453</v>
      </c>
    </row>
    <row r="147" spans="1:13" x14ac:dyDescent="0.3">
      <c r="A147" s="3">
        <v>146</v>
      </c>
      <c r="B147" s="3" t="s">
        <v>175</v>
      </c>
      <c r="C147" s="3" t="s">
        <v>13</v>
      </c>
      <c r="D147" s="3" t="s">
        <v>95</v>
      </c>
      <c r="E147" s="3">
        <v>340</v>
      </c>
      <c r="F147" s="3">
        <v>70</v>
      </c>
      <c r="G147" s="3">
        <v>70</v>
      </c>
      <c r="H147" s="3">
        <v>40</v>
      </c>
      <c r="I147" s="3">
        <v>60</v>
      </c>
      <c r="J147" s="3">
        <v>40</v>
      </c>
      <c r="K147" s="3">
        <v>60</v>
      </c>
      <c r="L147" s="3">
        <v>3</v>
      </c>
      <c r="M147" s="3" t="s">
        <v>453</v>
      </c>
    </row>
    <row r="148" spans="1:13" x14ac:dyDescent="0.3">
      <c r="A148" s="3">
        <v>147</v>
      </c>
      <c r="B148" s="3" t="s">
        <v>176</v>
      </c>
      <c r="C148" s="3" t="s">
        <v>13</v>
      </c>
      <c r="D148" s="3" t="s">
        <v>95</v>
      </c>
      <c r="E148" s="3">
        <v>480</v>
      </c>
      <c r="F148" s="3">
        <v>90</v>
      </c>
      <c r="G148" s="3">
        <v>100</v>
      </c>
      <c r="H148" s="3">
        <v>60</v>
      </c>
      <c r="I148" s="3">
        <v>90</v>
      </c>
      <c r="J148" s="3">
        <v>60</v>
      </c>
      <c r="K148" s="3">
        <v>80</v>
      </c>
      <c r="L148" s="3">
        <v>3</v>
      </c>
      <c r="M148" s="3" t="s">
        <v>453</v>
      </c>
    </row>
    <row r="149" spans="1:13" x14ac:dyDescent="0.3">
      <c r="A149" s="3">
        <v>148</v>
      </c>
      <c r="B149" s="3" t="s">
        <v>177</v>
      </c>
      <c r="C149" s="3" t="s">
        <v>31</v>
      </c>
      <c r="D149" s="3" t="s">
        <v>20</v>
      </c>
      <c r="E149" s="3">
        <v>270</v>
      </c>
      <c r="F149" s="3">
        <v>40</v>
      </c>
      <c r="G149" s="3">
        <v>55</v>
      </c>
      <c r="H149" s="3">
        <v>30</v>
      </c>
      <c r="I149" s="3">
        <v>30</v>
      </c>
      <c r="J149" s="3">
        <v>30</v>
      </c>
      <c r="K149" s="3">
        <v>85</v>
      </c>
      <c r="L149" s="3">
        <v>3</v>
      </c>
      <c r="M149" s="3" t="s">
        <v>453</v>
      </c>
    </row>
    <row r="150" spans="1:13" x14ac:dyDescent="0.3">
      <c r="A150" s="3">
        <v>149</v>
      </c>
      <c r="B150" s="3" t="s">
        <v>178</v>
      </c>
      <c r="C150" s="3" t="s">
        <v>31</v>
      </c>
      <c r="D150" s="3" t="s">
        <v>20</v>
      </c>
      <c r="E150" s="3">
        <v>430</v>
      </c>
      <c r="F150" s="3">
        <v>60</v>
      </c>
      <c r="G150" s="3">
        <v>85</v>
      </c>
      <c r="H150" s="3">
        <v>60</v>
      </c>
      <c r="I150" s="3">
        <v>50</v>
      </c>
      <c r="J150" s="3">
        <v>50</v>
      </c>
      <c r="K150" s="3">
        <v>125</v>
      </c>
      <c r="L150" s="3">
        <v>3</v>
      </c>
      <c r="M150" s="3" t="s">
        <v>453</v>
      </c>
    </row>
    <row r="151" spans="1:13" x14ac:dyDescent="0.3">
      <c r="A151" s="3">
        <v>150</v>
      </c>
      <c r="B151" s="3" t="s">
        <v>179</v>
      </c>
      <c r="C151" s="3" t="s">
        <v>53</v>
      </c>
      <c r="D151" s="3" t="s">
        <v>20</v>
      </c>
      <c r="E151" s="3">
        <v>270</v>
      </c>
      <c r="F151" s="3">
        <v>40</v>
      </c>
      <c r="G151" s="3">
        <v>30</v>
      </c>
      <c r="H151" s="3">
        <v>30</v>
      </c>
      <c r="I151" s="3">
        <v>55</v>
      </c>
      <c r="J151" s="3">
        <v>30</v>
      </c>
      <c r="K151" s="3">
        <v>85</v>
      </c>
      <c r="L151" s="3">
        <v>3</v>
      </c>
      <c r="M151" s="3" t="s">
        <v>453</v>
      </c>
    </row>
    <row r="152" spans="1:13" x14ac:dyDescent="0.3">
      <c r="A152" s="3">
        <v>151</v>
      </c>
      <c r="B152" s="3" t="s">
        <v>180</v>
      </c>
      <c r="C152" s="3" t="s">
        <v>53</v>
      </c>
      <c r="D152" s="3" t="s">
        <v>20</v>
      </c>
      <c r="E152" s="3">
        <v>430</v>
      </c>
      <c r="F152" s="3">
        <v>60</v>
      </c>
      <c r="G152" s="3">
        <v>50</v>
      </c>
      <c r="H152" s="3">
        <v>100</v>
      </c>
      <c r="I152" s="3">
        <v>85</v>
      </c>
      <c r="J152" s="3">
        <v>70</v>
      </c>
      <c r="K152" s="3">
        <v>65</v>
      </c>
      <c r="L152" s="3">
        <v>3</v>
      </c>
      <c r="M152" s="3" t="s">
        <v>453</v>
      </c>
    </row>
    <row r="153" spans="1:13" x14ac:dyDescent="0.3">
      <c r="A153" s="3">
        <v>152</v>
      </c>
      <c r="B153" s="3" t="s">
        <v>181</v>
      </c>
      <c r="C153" s="3" t="s">
        <v>65</v>
      </c>
      <c r="D153" s="3" t="s">
        <v>41</v>
      </c>
      <c r="E153" s="3">
        <v>198</v>
      </c>
      <c r="F153" s="3">
        <v>28</v>
      </c>
      <c r="G153" s="3">
        <v>25</v>
      </c>
      <c r="H153" s="3">
        <v>25</v>
      </c>
      <c r="I153" s="3">
        <v>45</v>
      </c>
      <c r="J153" s="3">
        <v>35</v>
      </c>
      <c r="K153" s="3">
        <v>40</v>
      </c>
      <c r="L153" s="3">
        <v>3</v>
      </c>
      <c r="M153" s="3" t="s">
        <v>453</v>
      </c>
    </row>
    <row r="154" spans="1:13" x14ac:dyDescent="0.3">
      <c r="A154" s="3">
        <v>153</v>
      </c>
      <c r="B154" s="3" t="s">
        <v>182</v>
      </c>
      <c r="C154" s="3" t="s">
        <v>65</v>
      </c>
      <c r="D154" s="3" t="s">
        <v>41</v>
      </c>
      <c r="E154" s="3">
        <v>278</v>
      </c>
      <c r="F154" s="3">
        <v>38</v>
      </c>
      <c r="G154" s="3">
        <v>35</v>
      </c>
      <c r="H154" s="3">
        <v>35</v>
      </c>
      <c r="I154" s="3">
        <v>65</v>
      </c>
      <c r="J154" s="3">
        <v>55</v>
      </c>
      <c r="K154" s="3">
        <v>50</v>
      </c>
      <c r="L154" s="3">
        <v>3</v>
      </c>
      <c r="M154" s="3" t="s">
        <v>453</v>
      </c>
    </row>
    <row r="155" spans="1:13" x14ac:dyDescent="0.3">
      <c r="A155" s="3">
        <v>154</v>
      </c>
      <c r="B155" s="3" t="s">
        <v>183</v>
      </c>
      <c r="C155" s="3" t="s">
        <v>65</v>
      </c>
      <c r="D155" s="3" t="s">
        <v>41</v>
      </c>
      <c r="E155" s="3">
        <v>518</v>
      </c>
      <c r="F155" s="3">
        <v>68</v>
      </c>
      <c r="G155" s="3">
        <v>65</v>
      </c>
      <c r="H155" s="3">
        <v>65</v>
      </c>
      <c r="I155" s="3">
        <v>125</v>
      </c>
      <c r="J155" s="3">
        <v>115</v>
      </c>
      <c r="K155" s="3">
        <v>80</v>
      </c>
      <c r="L155" s="3">
        <v>3</v>
      </c>
      <c r="M155" s="3" t="s">
        <v>453</v>
      </c>
    </row>
    <row r="156" spans="1:13" x14ac:dyDescent="0.3">
      <c r="A156" s="3">
        <v>155</v>
      </c>
      <c r="B156" s="3" t="s">
        <v>184</v>
      </c>
      <c r="C156" s="3" t="s">
        <v>65</v>
      </c>
      <c r="D156" s="3" t="s">
        <v>41</v>
      </c>
      <c r="E156" s="3">
        <v>618</v>
      </c>
      <c r="F156" s="3">
        <v>68</v>
      </c>
      <c r="G156" s="3">
        <v>85</v>
      </c>
      <c r="H156" s="3">
        <v>65</v>
      </c>
      <c r="I156" s="3">
        <v>165</v>
      </c>
      <c r="J156" s="3">
        <v>135</v>
      </c>
      <c r="K156" s="3">
        <v>100</v>
      </c>
      <c r="L156" s="3">
        <v>3</v>
      </c>
      <c r="M156" s="3" t="s">
        <v>453</v>
      </c>
    </row>
    <row r="157" spans="1:13" x14ac:dyDescent="0.3">
      <c r="A157" s="3">
        <v>156</v>
      </c>
      <c r="B157" s="3" t="s">
        <v>185</v>
      </c>
      <c r="C157" s="3" t="s">
        <v>25</v>
      </c>
      <c r="D157" s="3" t="s">
        <v>53</v>
      </c>
      <c r="E157" s="3">
        <v>269</v>
      </c>
      <c r="F157" s="3">
        <v>40</v>
      </c>
      <c r="G157" s="3">
        <v>30</v>
      </c>
      <c r="H157" s="3">
        <v>32</v>
      </c>
      <c r="I157" s="3">
        <v>50</v>
      </c>
      <c r="J157" s="3">
        <v>52</v>
      </c>
      <c r="K157" s="3">
        <v>65</v>
      </c>
      <c r="L157" s="3">
        <v>3</v>
      </c>
      <c r="M157" s="3" t="s">
        <v>453</v>
      </c>
    </row>
    <row r="158" spans="1:13" x14ac:dyDescent="0.3">
      <c r="A158" s="3">
        <v>157</v>
      </c>
      <c r="B158" s="3" t="s">
        <v>186</v>
      </c>
      <c r="C158" s="3" t="s">
        <v>25</v>
      </c>
      <c r="D158" s="3" t="s">
        <v>20</v>
      </c>
      <c r="E158" s="3">
        <v>414</v>
      </c>
      <c r="F158" s="3">
        <v>70</v>
      </c>
      <c r="G158" s="3">
        <v>60</v>
      </c>
      <c r="H158" s="3">
        <v>62</v>
      </c>
      <c r="I158" s="3">
        <v>80</v>
      </c>
      <c r="J158" s="3">
        <v>82</v>
      </c>
      <c r="K158" s="3">
        <v>60</v>
      </c>
      <c r="L158" s="3">
        <v>3</v>
      </c>
      <c r="M158" s="3" t="s">
        <v>453</v>
      </c>
    </row>
    <row r="159" spans="1:13" x14ac:dyDescent="0.3">
      <c r="A159" s="3">
        <v>158</v>
      </c>
      <c r="B159" s="3" t="s">
        <v>187</v>
      </c>
      <c r="C159" s="3" t="s">
        <v>13</v>
      </c>
      <c r="D159" s="3" t="s">
        <v>54</v>
      </c>
      <c r="E159" s="3">
        <v>460</v>
      </c>
      <c r="F159" s="3">
        <v>60</v>
      </c>
      <c r="G159" s="3">
        <v>130</v>
      </c>
      <c r="H159" s="3">
        <v>80</v>
      </c>
      <c r="I159" s="3">
        <v>60</v>
      </c>
      <c r="J159" s="3">
        <v>60</v>
      </c>
      <c r="K159" s="3">
        <v>70</v>
      </c>
      <c r="L159" s="3">
        <v>3</v>
      </c>
      <c r="M159" s="3" t="s">
        <v>453</v>
      </c>
    </row>
    <row r="160" spans="1:13" x14ac:dyDescent="0.3">
      <c r="A160" s="3">
        <v>159</v>
      </c>
      <c r="B160" s="3" t="s">
        <v>188</v>
      </c>
      <c r="C160" s="3" t="s">
        <v>25</v>
      </c>
      <c r="D160" s="3" t="s">
        <v>38</v>
      </c>
      <c r="E160" s="3">
        <v>266</v>
      </c>
      <c r="F160" s="3">
        <v>31</v>
      </c>
      <c r="G160" s="3">
        <v>45</v>
      </c>
      <c r="H160" s="3">
        <v>90</v>
      </c>
      <c r="I160" s="3">
        <v>30</v>
      </c>
      <c r="J160" s="3">
        <v>30</v>
      </c>
      <c r="K160" s="3">
        <v>40</v>
      </c>
      <c r="L160" s="3">
        <v>3</v>
      </c>
      <c r="M160" s="3" t="s">
        <v>453</v>
      </c>
    </row>
    <row r="161" spans="1:13" x14ac:dyDescent="0.3">
      <c r="A161" s="3">
        <v>160</v>
      </c>
      <c r="B161" s="3" t="s">
        <v>189</v>
      </c>
      <c r="C161" s="3" t="s">
        <v>25</v>
      </c>
      <c r="D161" s="3" t="s">
        <v>20</v>
      </c>
      <c r="E161" s="3">
        <v>456</v>
      </c>
      <c r="F161" s="3">
        <v>61</v>
      </c>
      <c r="G161" s="3">
        <v>90</v>
      </c>
      <c r="H161" s="3">
        <v>45</v>
      </c>
      <c r="I161" s="3">
        <v>50</v>
      </c>
      <c r="J161" s="3">
        <v>50</v>
      </c>
      <c r="K161" s="3">
        <v>160</v>
      </c>
      <c r="L161" s="3">
        <v>3</v>
      </c>
      <c r="M161" s="3" t="s">
        <v>453</v>
      </c>
    </row>
    <row r="162" spans="1:13" x14ac:dyDescent="0.3">
      <c r="A162" s="3">
        <v>161</v>
      </c>
      <c r="B162" s="3" t="s">
        <v>190</v>
      </c>
      <c r="C162" s="3" t="s">
        <v>25</v>
      </c>
      <c r="D162" s="3" t="s">
        <v>79</v>
      </c>
      <c r="E162" s="3">
        <v>236</v>
      </c>
      <c r="F162" s="3">
        <v>1</v>
      </c>
      <c r="G162" s="3">
        <v>90</v>
      </c>
      <c r="H162" s="3">
        <v>45</v>
      </c>
      <c r="I162" s="3">
        <v>30</v>
      </c>
      <c r="J162" s="3">
        <v>30</v>
      </c>
      <c r="K162" s="3">
        <v>40</v>
      </c>
      <c r="L162" s="3">
        <v>3</v>
      </c>
      <c r="M162" s="3" t="s">
        <v>453</v>
      </c>
    </row>
    <row r="163" spans="1:13" x14ac:dyDescent="0.3">
      <c r="A163" s="3">
        <v>162</v>
      </c>
      <c r="B163" s="3" t="s">
        <v>191</v>
      </c>
      <c r="C163" s="3" t="s">
        <v>31</v>
      </c>
      <c r="D163" s="3" t="s">
        <v>41</v>
      </c>
      <c r="E163" s="3">
        <v>190</v>
      </c>
      <c r="F163" s="3">
        <v>50</v>
      </c>
      <c r="G163" s="3">
        <v>20</v>
      </c>
      <c r="H163" s="3">
        <v>40</v>
      </c>
      <c r="I163" s="3">
        <v>20</v>
      </c>
      <c r="J163" s="3">
        <v>40</v>
      </c>
      <c r="K163" s="3">
        <v>20</v>
      </c>
      <c r="L163" s="3">
        <v>3</v>
      </c>
      <c r="M163" s="3" t="s">
        <v>453</v>
      </c>
    </row>
    <row r="164" spans="1:13" x14ac:dyDescent="0.3">
      <c r="A164" s="3">
        <v>163</v>
      </c>
      <c r="B164" s="3" t="s">
        <v>192</v>
      </c>
      <c r="C164" s="3" t="s">
        <v>95</v>
      </c>
      <c r="D164" s="3" t="s">
        <v>79</v>
      </c>
      <c r="E164" s="3">
        <v>380</v>
      </c>
      <c r="F164" s="3">
        <v>50</v>
      </c>
      <c r="G164" s="3">
        <v>75</v>
      </c>
      <c r="H164" s="3">
        <v>75</v>
      </c>
      <c r="I164" s="3">
        <v>65</v>
      </c>
      <c r="J164" s="3">
        <v>65</v>
      </c>
      <c r="K164" s="3">
        <v>50</v>
      </c>
      <c r="L164" s="3">
        <v>3</v>
      </c>
      <c r="M164" s="3" t="s">
        <v>453</v>
      </c>
    </row>
    <row r="165" spans="1:13" x14ac:dyDescent="0.3">
      <c r="A165" s="3">
        <v>164</v>
      </c>
      <c r="B165" s="3" t="s">
        <v>193</v>
      </c>
      <c r="C165" s="3" t="s">
        <v>95</v>
      </c>
      <c r="D165" s="3" t="s">
        <v>79</v>
      </c>
      <c r="E165" s="3">
        <v>480</v>
      </c>
      <c r="F165" s="3">
        <v>50</v>
      </c>
      <c r="G165" s="3">
        <v>85</v>
      </c>
      <c r="H165" s="3">
        <v>125</v>
      </c>
      <c r="I165" s="3">
        <v>85</v>
      </c>
      <c r="J165" s="3">
        <v>115</v>
      </c>
      <c r="K165" s="3">
        <v>20</v>
      </c>
      <c r="L165" s="3">
        <v>3</v>
      </c>
      <c r="M165" s="3" t="s">
        <v>453</v>
      </c>
    </row>
    <row r="166" spans="1:13" x14ac:dyDescent="0.3">
      <c r="A166" s="3">
        <v>165</v>
      </c>
      <c r="B166" s="3" t="s">
        <v>194</v>
      </c>
      <c r="C166" s="3" t="s">
        <v>70</v>
      </c>
      <c r="D166" s="3" t="s">
        <v>41</v>
      </c>
      <c r="E166" s="3">
        <v>380</v>
      </c>
      <c r="F166" s="3">
        <v>50</v>
      </c>
      <c r="G166" s="3">
        <v>85</v>
      </c>
      <c r="H166" s="3">
        <v>85</v>
      </c>
      <c r="I166" s="3">
        <v>55</v>
      </c>
      <c r="J166" s="3">
        <v>55</v>
      </c>
      <c r="K166" s="3">
        <v>50</v>
      </c>
      <c r="L166" s="3">
        <v>3</v>
      </c>
      <c r="M166" s="3" t="s">
        <v>453</v>
      </c>
    </row>
    <row r="167" spans="1:13" x14ac:dyDescent="0.3">
      <c r="A167" s="3">
        <v>166</v>
      </c>
      <c r="B167" s="3" t="s">
        <v>195</v>
      </c>
      <c r="C167" s="3" t="s">
        <v>70</v>
      </c>
      <c r="D167" s="3" t="s">
        <v>41</v>
      </c>
      <c r="E167" s="3">
        <v>480</v>
      </c>
      <c r="F167" s="3">
        <v>50</v>
      </c>
      <c r="G167" s="3">
        <v>105</v>
      </c>
      <c r="H167" s="3">
        <v>125</v>
      </c>
      <c r="I167" s="3">
        <v>55</v>
      </c>
      <c r="J167" s="3">
        <v>95</v>
      </c>
      <c r="K167" s="3">
        <v>50</v>
      </c>
      <c r="L167" s="3">
        <v>3</v>
      </c>
      <c r="M167" s="3" t="s">
        <v>453</v>
      </c>
    </row>
    <row r="168" spans="1:13" x14ac:dyDescent="0.3">
      <c r="A168" s="3">
        <v>167</v>
      </c>
      <c r="B168" s="3" t="s">
        <v>196</v>
      </c>
      <c r="C168" s="3" t="s">
        <v>70</v>
      </c>
      <c r="D168" s="3" t="s">
        <v>61</v>
      </c>
      <c r="E168" s="3">
        <v>330</v>
      </c>
      <c r="F168" s="3">
        <v>50</v>
      </c>
      <c r="G168" s="3">
        <v>70</v>
      </c>
      <c r="H168" s="3">
        <v>100</v>
      </c>
      <c r="I168" s="3">
        <v>40</v>
      </c>
      <c r="J168" s="3">
        <v>40</v>
      </c>
      <c r="K168" s="3">
        <v>30</v>
      </c>
      <c r="L168" s="3">
        <v>3</v>
      </c>
      <c r="M168" s="3" t="s">
        <v>453</v>
      </c>
    </row>
    <row r="169" spans="1:13" x14ac:dyDescent="0.3">
      <c r="A169" s="3">
        <v>168</v>
      </c>
      <c r="B169" s="3" t="s">
        <v>197</v>
      </c>
      <c r="C169" s="3" t="s">
        <v>70</v>
      </c>
      <c r="D169" s="3" t="s">
        <v>61</v>
      </c>
      <c r="E169" s="3">
        <v>430</v>
      </c>
      <c r="F169" s="3">
        <v>60</v>
      </c>
      <c r="G169" s="3">
        <v>90</v>
      </c>
      <c r="H169" s="3">
        <v>140</v>
      </c>
      <c r="I169" s="3">
        <v>50</v>
      </c>
      <c r="J169" s="3">
        <v>50</v>
      </c>
      <c r="K169" s="3">
        <v>40</v>
      </c>
      <c r="L169" s="3">
        <v>3</v>
      </c>
      <c r="M169" s="3" t="s">
        <v>453</v>
      </c>
    </row>
    <row r="170" spans="1:13" x14ac:dyDescent="0.3">
      <c r="A170" s="3">
        <v>169</v>
      </c>
      <c r="B170" s="3" t="s">
        <v>198</v>
      </c>
      <c r="C170" s="3" t="s">
        <v>70</v>
      </c>
      <c r="D170" s="3" t="s">
        <v>61</v>
      </c>
      <c r="E170" s="3">
        <v>530</v>
      </c>
      <c r="F170" s="3">
        <v>70</v>
      </c>
      <c r="G170" s="3">
        <v>110</v>
      </c>
      <c r="H170" s="3">
        <v>180</v>
      </c>
      <c r="I170" s="3">
        <v>60</v>
      </c>
      <c r="J170" s="3">
        <v>60</v>
      </c>
      <c r="K170" s="3">
        <v>50</v>
      </c>
      <c r="L170" s="3">
        <v>3</v>
      </c>
      <c r="M170" s="3" t="s">
        <v>453</v>
      </c>
    </row>
    <row r="171" spans="1:13" x14ac:dyDescent="0.3">
      <c r="A171" s="3">
        <v>170</v>
      </c>
      <c r="B171" s="3" t="s">
        <v>199</v>
      </c>
      <c r="C171" s="3" t="s">
        <v>54</v>
      </c>
      <c r="D171" s="3" t="s">
        <v>65</v>
      </c>
      <c r="E171" s="3">
        <v>280</v>
      </c>
      <c r="F171" s="3">
        <v>30</v>
      </c>
      <c r="G171" s="3">
        <v>40</v>
      </c>
      <c r="H171" s="3">
        <v>55</v>
      </c>
      <c r="I171" s="3">
        <v>40</v>
      </c>
      <c r="J171" s="3">
        <v>55</v>
      </c>
      <c r="K171" s="3">
        <v>60</v>
      </c>
      <c r="L171" s="3">
        <v>3</v>
      </c>
      <c r="M171" s="3" t="s">
        <v>453</v>
      </c>
    </row>
    <row r="172" spans="1:13" x14ac:dyDescent="0.3">
      <c r="A172" s="3">
        <v>171</v>
      </c>
      <c r="B172" s="3" t="s">
        <v>200</v>
      </c>
      <c r="C172" s="3" t="s">
        <v>54</v>
      </c>
      <c r="D172" s="3" t="s">
        <v>65</v>
      </c>
      <c r="E172" s="3">
        <v>410</v>
      </c>
      <c r="F172" s="3">
        <v>60</v>
      </c>
      <c r="G172" s="3">
        <v>60</v>
      </c>
      <c r="H172" s="3">
        <v>75</v>
      </c>
      <c r="I172" s="3">
        <v>60</v>
      </c>
      <c r="J172" s="3">
        <v>75</v>
      </c>
      <c r="K172" s="3">
        <v>80</v>
      </c>
      <c r="L172" s="3">
        <v>3</v>
      </c>
      <c r="M172" s="3" t="s">
        <v>453</v>
      </c>
    </row>
    <row r="173" spans="1:13" x14ac:dyDescent="0.3">
      <c r="A173" s="3">
        <v>172</v>
      </c>
      <c r="B173" s="3" t="s">
        <v>201</v>
      </c>
      <c r="C173" s="3" t="s">
        <v>54</v>
      </c>
      <c r="D173" s="3" t="s">
        <v>65</v>
      </c>
      <c r="E173" s="3">
        <v>510</v>
      </c>
      <c r="F173" s="3">
        <v>60</v>
      </c>
      <c r="G173" s="3">
        <v>100</v>
      </c>
      <c r="H173" s="3">
        <v>85</v>
      </c>
      <c r="I173" s="3">
        <v>80</v>
      </c>
      <c r="J173" s="3">
        <v>85</v>
      </c>
      <c r="K173" s="3">
        <v>100</v>
      </c>
      <c r="L173" s="3">
        <v>3</v>
      </c>
      <c r="M173" s="3" t="s">
        <v>453</v>
      </c>
    </row>
    <row r="174" spans="1:13" x14ac:dyDescent="0.3">
      <c r="A174" s="3">
        <v>173</v>
      </c>
      <c r="B174" s="3" t="s">
        <v>202</v>
      </c>
      <c r="C174" s="3" t="s">
        <v>13</v>
      </c>
      <c r="D174" s="3" t="s">
        <v>14</v>
      </c>
      <c r="E174" s="3">
        <v>400</v>
      </c>
      <c r="F174" s="3">
        <v>50</v>
      </c>
      <c r="G174" s="3">
        <v>60</v>
      </c>
      <c r="H174" s="3">
        <v>45</v>
      </c>
      <c r="I174" s="3">
        <v>100</v>
      </c>
      <c r="J174" s="3">
        <v>80</v>
      </c>
      <c r="K174" s="3">
        <v>65</v>
      </c>
      <c r="L174" s="3">
        <v>3</v>
      </c>
      <c r="M174" s="3" t="s">
        <v>453</v>
      </c>
    </row>
    <row r="175" spans="1:13" x14ac:dyDescent="0.3">
      <c r="A175" s="3">
        <v>174</v>
      </c>
      <c r="B175" s="3" t="s">
        <v>203</v>
      </c>
      <c r="C175" s="3" t="s">
        <v>53</v>
      </c>
      <c r="D175" s="3" t="s">
        <v>95</v>
      </c>
      <c r="E175" s="3">
        <v>305</v>
      </c>
      <c r="F175" s="3">
        <v>45</v>
      </c>
      <c r="G175" s="3">
        <v>90</v>
      </c>
      <c r="H175" s="3">
        <v>20</v>
      </c>
      <c r="I175" s="3">
        <v>65</v>
      </c>
      <c r="J175" s="3">
        <v>20</v>
      </c>
      <c r="K175" s="3">
        <v>65</v>
      </c>
      <c r="L175" s="3">
        <v>3</v>
      </c>
      <c r="M175" s="3" t="s">
        <v>453</v>
      </c>
    </row>
    <row r="176" spans="1:13" x14ac:dyDescent="0.3">
      <c r="A176" s="3">
        <v>175</v>
      </c>
      <c r="B176" s="3" t="s">
        <v>204</v>
      </c>
      <c r="C176" s="3" t="s">
        <v>53</v>
      </c>
      <c r="D176" s="3" t="s">
        <v>95</v>
      </c>
      <c r="E176" s="3">
        <v>460</v>
      </c>
      <c r="F176" s="3">
        <v>70</v>
      </c>
      <c r="G176" s="3">
        <v>120</v>
      </c>
      <c r="H176" s="3">
        <v>40</v>
      </c>
      <c r="I176" s="3">
        <v>95</v>
      </c>
      <c r="J176" s="3">
        <v>40</v>
      </c>
      <c r="K176" s="3">
        <v>95</v>
      </c>
      <c r="L176" s="3">
        <v>3</v>
      </c>
      <c r="M176" s="3" t="s">
        <v>453</v>
      </c>
    </row>
    <row r="177" spans="1:13" x14ac:dyDescent="0.3">
      <c r="A177" s="3">
        <v>176</v>
      </c>
      <c r="B177" s="3" t="s">
        <v>205</v>
      </c>
      <c r="C177" s="3" t="s">
        <v>53</v>
      </c>
      <c r="D177" s="3" t="s">
        <v>95</v>
      </c>
      <c r="E177" s="3">
        <v>560</v>
      </c>
      <c r="F177" s="3">
        <v>70</v>
      </c>
      <c r="G177" s="3">
        <v>140</v>
      </c>
      <c r="H177" s="3">
        <v>70</v>
      </c>
      <c r="I177" s="3">
        <v>110</v>
      </c>
      <c r="J177" s="3">
        <v>65</v>
      </c>
      <c r="K177" s="3">
        <v>105</v>
      </c>
      <c r="L177" s="3">
        <v>3</v>
      </c>
      <c r="M177" s="3" t="s">
        <v>453</v>
      </c>
    </row>
    <row r="178" spans="1:13" x14ac:dyDescent="0.3">
      <c r="A178" s="3">
        <v>177</v>
      </c>
      <c r="B178" s="3" t="s">
        <v>206</v>
      </c>
      <c r="C178" s="3" t="s">
        <v>19</v>
      </c>
      <c r="D178" s="3" t="s">
        <v>38</v>
      </c>
      <c r="E178" s="3">
        <v>305</v>
      </c>
      <c r="F178" s="3">
        <v>60</v>
      </c>
      <c r="G178" s="3">
        <v>60</v>
      </c>
      <c r="H178" s="3">
        <v>40</v>
      </c>
      <c r="I178" s="3">
        <v>65</v>
      </c>
      <c r="J178" s="3">
        <v>45</v>
      </c>
      <c r="K178" s="3">
        <v>35</v>
      </c>
      <c r="L178" s="3">
        <v>3</v>
      </c>
      <c r="M178" s="3" t="s">
        <v>453</v>
      </c>
    </row>
    <row r="179" spans="1:13" x14ac:dyDescent="0.3">
      <c r="A179" s="3">
        <v>178</v>
      </c>
      <c r="B179" s="3" t="s">
        <v>207</v>
      </c>
      <c r="C179" s="3" t="s">
        <v>19</v>
      </c>
      <c r="D179" s="3" t="s">
        <v>38</v>
      </c>
      <c r="E179" s="3">
        <v>460</v>
      </c>
      <c r="F179" s="3">
        <v>70</v>
      </c>
      <c r="G179" s="3">
        <v>100</v>
      </c>
      <c r="H179" s="3">
        <v>70</v>
      </c>
      <c r="I179" s="3">
        <v>105</v>
      </c>
      <c r="J179" s="3">
        <v>75</v>
      </c>
      <c r="K179" s="3">
        <v>40</v>
      </c>
      <c r="L179" s="3">
        <v>3</v>
      </c>
      <c r="M179" s="3" t="s">
        <v>453</v>
      </c>
    </row>
    <row r="180" spans="1:13" x14ac:dyDescent="0.3">
      <c r="A180" s="3">
        <v>179</v>
      </c>
      <c r="B180" s="3" t="s">
        <v>208</v>
      </c>
      <c r="C180" s="3" t="s">
        <v>19</v>
      </c>
      <c r="D180" s="3" t="s">
        <v>38</v>
      </c>
      <c r="E180" s="3">
        <v>560</v>
      </c>
      <c r="F180" s="3">
        <v>70</v>
      </c>
      <c r="G180" s="3">
        <v>120</v>
      </c>
      <c r="H180" s="3">
        <v>100</v>
      </c>
      <c r="I180" s="3">
        <v>145</v>
      </c>
      <c r="J180" s="3">
        <v>105</v>
      </c>
      <c r="K180" s="3">
        <v>20</v>
      </c>
      <c r="L180" s="3">
        <v>3</v>
      </c>
      <c r="M180" s="3" t="s">
        <v>453</v>
      </c>
    </row>
    <row r="181" spans="1:13" x14ac:dyDescent="0.3">
      <c r="A181" s="3">
        <v>180</v>
      </c>
      <c r="B181" s="3" t="s">
        <v>209</v>
      </c>
      <c r="C181" s="3" t="s">
        <v>38</v>
      </c>
      <c r="D181" s="3" t="s">
        <v>22</v>
      </c>
      <c r="E181" s="3">
        <v>340</v>
      </c>
      <c r="F181" s="3">
        <v>50</v>
      </c>
      <c r="G181" s="3">
        <v>70</v>
      </c>
      <c r="H181" s="3">
        <v>50</v>
      </c>
      <c r="I181" s="3">
        <v>50</v>
      </c>
      <c r="J181" s="3">
        <v>50</v>
      </c>
      <c r="K181" s="3">
        <v>70</v>
      </c>
      <c r="L181" s="3">
        <v>3</v>
      </c>
      <c r="M181" s="3" t="s">
        <v>453</v>
      </c>
    </row>
    <row r="182" spans="1:13" x14ac:dyDescent="0.3">
      <c r="A182" s="3">
        <v>181</v>
      </c>
      <c r="B182" s="3" t="s">
        <v>210</v>
      </c>
      <c r="C182" s="3" t="s">
        <v>38</v>
      </c>
      <c r="D182" s="3" t="s">
        <v>22</v>
      </c>
      <c r="E182" s="3">
        <v>520</v>
      </c>
      <c r="F182" s="3">
        <v>80</v>
      </c>
      <c r="G182" s="3">
        <v>100</v>
      </c>
      <c r="H182" s="3">
        <v>80</v>
      </c>
      <c r="I182" s="3">
        <v>80</v>
      </c>
      <c r="J182" s="3">
        <v>80</v>
      </c>
      <c r="K182" s="3">
        <v>100</v>
      </c>
      <c r="L182" s="3">
        <v>3</v>
      </c>
      <c r="M182" s="3" t="s">
        <v>453</v>
      </c>
    </row>
    <row r="183" spans="1:13" x14ac:dyDescent="0.3">
      <c r="A183" s="3">
        <v>182</v>
      </c>
      <c r="B183" s="3" t="s">
        <v>211</v>
      </c>
      <c r="C183" s="3" t="s">
        <v>13</v>
      </c>
      <c r="D183" s="3" t="s">
        <v>95</v>
      </c>
      <c r="E183" s="3">
        <v>475</v>
      </c>
      <c r="F183" s="3">
        <v>70</v>
      </c>
      <c r="G183" s="3">
        <v>115</v>
      </c>
      <c r="H183" s="3">
        <v>60</v>
      </c>
      <c r="I183" s="3">
        <v>115</v>
      </c>
      <c r="J183" s="3">
        <v>60</v>
      </c>
      <c r="K183" s="3">
        <v>55</v>
      </c>
      <c r="L183" s="3">
        <v>3</v>
      </c>
      <c r="M183" s="3" t="s">
        <v>453</v>
      </c>
    </row>
    <row r="184" spans="1:13" x14ac:dyDescent="0.3">
      <c r="A184" s="3">
        <v>183</v>
      </c>
      <c r="B184" s="3" t="s">
        <v>212</v>
      </c>
      <c r="C184" s="3" t="s">
        <v>31</v>
      </c>
      <c r="D184" s="3" t="s">
        <v>20</v>
      </c>
      <c r="E184" s="3">
        <v>310</v>
      </c>
      <c r="F184" s="3">
        <v>45</v>
      </c>
      <c r="G184" s="3">
        <v>40</v>
      </c>
      <c r="H184" s="3">
        <v>60</v>
      </c>
      <c r="I184" s="3">
        <v>40</v>
      </c>
      <c r="J184" s="3">
        <v>75</v>
      </c>
      <c r="K184" s="3">
        <v>50</v>
      </c>
      <c r="L184" s="3">
        <v>3</v>
      </c>
      <c r="M184" s="3" t="s">
        <v>453</v>
      </c>
    </row>
    <row r="185" spans="1:13" x14ac:dyDescent="0.3">
      <c r="A185" s="3">
        <v>184</v>
      </c>
      <c r="B185" s="3" t="s">
        <v>213</v>
      </c>
      <c r="C185" s="3" t="s">
        <v>22</v>
      </c>
      <c r="D185" s="3" t="s">
        <v>20</v>
      </c>
      <c r="E185" s="3">
        <v>490</v>
      </c>
      <c r="F185" s="3">
        <v>75</v>
      </c>
      <c r="G185" s="3">
        <v>70</v>
      </c>
      <c r="H185" s="3">
        <v>90</v>
      </c>
      <c r="I185" s="3">
        <v>70</v>
      </c>
      <c r="J185" s="3">
        <v>105</v>
      </c>
      <c r="K185" s="3">
        <v>80</v>
      </c>
      <c r="L185" s="3">
        <v>3</v>
      </c>
      <c r="M185" s="3" t="s">
        <v>453</v>
      </c>
    </row>
    <row r="186" spans="1:13" x14ac:dyDescent="0.3">
      <c r="A186" s="3">
        <v>185</v>
      </c>
      <c r="B186" s="3" t="s">
        <v>214</v>
      </c>
      <c r="C186" s="3" t="s">
        <v>22</v>
      </c>
      <c r="D186" s="3" t="s">
        <v>41</v>
      </c>
      <c r="E186" s="3">
        <v>590</v>
      </c>
      <c r="F186" s="3">
        <v>75</v>
      </c>
      <c r="G186" s="3">
        <v>110</v>
      </c>
      <c r="H186" s="3">
        <v>110</v>
      </c>
      <c r="I186" s="3">
        <v>110</v>
      </c>
      <c r="J186" s="3">
        <v>105</v>
      </c>
      <c r="K186" s="3">
        <v>80</v>
      </c>
      <c r="L186" s="3">
        <v>3</v>
      </c>
      <c r="M186" s="3" t="s">
        <v>453</v>
      </c>
    </row>
    <row r="187" spans="1:13" x14ac:dyDescent="0.3">
      <c r="A187" s="3">
        <v>186</v>
      </c>
      <c r="B187" s="3" t="s">
        <v>215</v>
      </c>
      <c r="C187" s="3" t="s">
        <v>61</v>
      </c>
      <c r="D187" s="3" t="s">
        <v>65</v>
      </c>
      <c r="E187" s="3">
        <v>440</v>
      </c>
      <c r="F187" s="3">
        <v>70</v>
      </c>
      <c r="G187" s="3">
        <v>55</v>
      </c>
      <c r="H187" s="3">
        <v>65</v>
      </c>
      <c r="I187" s="3">
        <v>95</v>
      </c>
      <c r="J187" s="3">
        <v>85</v>
      </c>
      <c r="K187" s="3">
        <v>70</v>
      </c>
      <c r="L187" s="3">
        <v>3</v>
      </c>
      <c r="M187" s="3" t="s">
        <v>453</v>
      </c>
    </row>
    <row r="188" spans="1:13" x14ac:dyDescent="0.3">
      <c r="A188" s="3">
        <v>187</v>
      </c>
      <c r="B188" s="3" t="s">
        <v>216</v>
      </c>
      <c r="C188" s="3" t="s">
        <v>61</v>
      </c>
      <c r="D188" s="3" t="s">
        <v>65</v>
      </c>
      <c r="E188" s="3">
        <v>440</v>
      </c>
      <c r="F188" s="3">
        <v>70</v>
      </c>
      <c r="G188" s="3">
        <v>95</v>
      </c>
      <c r="H188" s="3">
        <v>85</v>
      </c>
      <c r="I188" s="3">
        <v>55</v>
      </c>
      <c r="J188" s="3">
        <v>65</v>
      </c>
      <c r="K188" s="3">
        <v>70</v>
      </c>
      <c r="L188" s="3">
        <v>3</v>
      </c>
      <c r="M188" s="3" t="s">
        <v>453</v>
      </c>
    </row>
    <row r="189" spans="1:13" x14ac:dyDescent="0.3">
      <c r="A189" s="3">
        <v>188</v>
      </c>
      <c r="B189" s="3" t="s">
        <v>217</v>
      </c>
      <c r="C189" s="3" t="s">
        <v>53</v>
      </c>
      <c r="D189" s="3" t="s">
        <v>38</v>
      </c>
      <c r="E189" s="3">
        <v>288</v>
      </c>
      <c r="F189" s="3">
        <v>50</v>
      </c>
      <c r="G189" s="3">
        <v>48</v>
      </c>
      <c r="H189" s="3">
        <v>43</v>
      </c>
      <c r="I189" s="3">
        <v>46</v>
      </c>
      <c r="J189" s="3">
        <v>41</v>
      </c>
      <c r="K189" s="3">
        <v>60</v>
      </c>
      <c r="L189" s="3">
        <v>3</v>
      </c>
      <c r="M189" s="3" t="s">
        <v>453</v>
      </c>
    </row>
    <row r="190" spans="1:13" x14ac:dyDescent="0.3">
      <c r="A190" s="3">
        <v>189</v>
      </c>
      <c r="B190" s="3" t="s">
        <v>218</v>
      </c>
      <c r="C190" s="3" t="s">
        <v>53</v>
      </c>
      <c r="D190" s="3" t="s">
        <v>38</v>
      </c>
      <c r="E190" s="3">
        <v>468</v>
      </c>
      <c r="F190" s="3">
        <v>110</v>
      </c>
      <c r="G190" s="3">
        <v>78</v>
      </c>
      <c r="H190" s="3">
        <v>73</v>
      </c>
      <c r="I190" s="3">
        <v>76</v>
      </c>
      <c r="J190" s="3">
        <v>71</v>
      </c>
      <c r="K190" s="3">
        <v>60</v>
      </c>
      <c r="L190" s="3">
        <v>3</v>
      </c>
      <c r="M190" s="3" t="s">
        <v>453</v>
      </c>
    </row>
    <row r="191" spans="1:13" x14ac:dyDescent="0.3">
      <c r="A191" s="3">
        <v>190</v>
      </c>
      <c r="B191" s="3" t="s">
        <v>219</v>
      </c>
      <c r="C191" s="3" t="s">
        <v>53</v>
      </c>
      <c r="D191" s="3" t="s">
        <v>95</v>
      </c>
      <c r="E191" s="3">
        <v>468</v>
      </c>
      <c r="F191" s="3">
        <v>63</v>
      </c>
      <c r="G191" s="3">
        <v>120</v>
      </c>
      <c r="H191" s="3">
        <v>85</v>
      </c>
      <c r="I191" s="3">
        <v>90</v>
      </c>
      <c r="J191" s="3">
        <v>55</v>
      </c>
      <c r="K191" s="3">
        <v>55</v>
      </c>
      <c r="L191" s="3">
        <v>3</v>
      </c>
      <c r="M191" s="3" t="s">
        <v>453</v>
      </c>
    </row>
    <row r="192" spans="1:13" x14ac:dyDescent="0.3">
      <c r="A192" s="3">
        <v>191</v>
      </c>
      <c r="B192" s="3" t="s">
        <v>220</v>
      </c>
      <c r="C192" s="3" t="s">
        <v>38</v>
      </c>
      <c r="D192" s="3" t="s">
        <v>65</v>
      </c>
      <c r="E192" s="3">
        <v>300</v>
      </c>
      <c r="F192" s="3">
        <v>40</v>
      </c>
      <c r="G192" s="3">
        <v>40</v>
      </c>
      <c r="H192" s="3">
        <v>55</v>
      </c>
      <c r="I192" s="3">
        <v>40</v>
      </c>
      <c r="J192" s="3">
        <v>70</v>
      </c>
      <c r="K192" s="3">
        <v>55</v>
      </c>
      <c r="L192" s="3">
        <v>3</v>
      </c>
      <c r="M192" s="3" t="s">
        <v>453</v>
      </c>
    </row>
    <row r="193" spans="1:13" x14ac:dyDescent="0.3">
      <c r="A193" s="3">
        <v>192</v>
      </c>
      <c r="B193" s="3" t="s">
        <v>221</v>
      </c>
      <c r="C193" s="3" t="s">
        <v>38</v>
      </c>
      <c r="D193" s="3" t="s">
        <v>65</v>
      </c>
      <c r="E193" s="3">
        <v>500</v>
      </c>
      <c r="F193" s="3">
        <v>60</v>
      </c>
      <c r="G193" s="3">
        <v>70</v>
      </c>
      <c r="H193" s="3">
        <v>105</v>
      </c>
      <c r="I193" s="3">
        <v>70</v>
      </c>
      <c r="J193" s="3">
        <v>120</v>
      </c>
      <c r="K193" s="3">
        <v>75</v>
      </c>
      <c r="L193" s="3">
        <v>3</v>
      </c>
      <c r="M193" s="3" t="s">
        <v>453</v>
      </c>
    </row>
    <row r="194" spans="1:13" x14ac:dyDescent="0.3">
      <c r="A194" s="3">
        <v>193</v>
      </c>
      <c r="B194" s="3" t="s">
        <v>222</v>
      </c>
      <c r="C194" s="3" t="s">
        <v>61</v>
      </c>
      <c r="D194" s="3" t="s">
        <v>13</v>
      </c>
      <c r="E194" s="3">
        <v>355</v>
      </c>
      <c r="F194" s="3">
        <v>66</v>
      </c>
      <c r="G194" s="3">
        <v>41</v>
      </c>
      <c r="H194" s="3">
        <v>77</v>
      </c>
      <c r="I194" s="3">
        <v>61</v>
      </c>
      <c r="J194" s="3">
        <v>87</v>
      </c>
      <c r="K194" s="3">
        <v>23</v>
      </c>
      <c r="L194" s="3">
        <v>3</v>
      </c>
      <c r="M194" s="3" t="s">
        <v>453</v>
      </c>
    </row>
    <row r="195" spans="1:13" x14ac:dyDescent="0.3">
      <c r="A195" s="3">
        <v>194</v>
      </c>
      <c r="B195" s="3" t="s">
        <v>223</v>
      </c>
      <c r="C195" s="3" t="s">
        <v>61</v>
      </c>
      <c r="D195" s="3" t="s">
        <v>13</v>
      </c>
      <c r="E195" s="3">
        <v>495</v>
      </c>
      <c r="F195" s="3">
        <v>86</v>
      </c>
      <c r="G195" s="3">
        <v>81</v>
      </c>
      <c r="H195" s="3">
        <v>97</v>
      </c>
      <c r="I195" s="3">
        <v>81</v>
      </c>
      <c r="J195" s="3">
        <v>107</v>
      </c>
      <c r="K195" s="3">
        <v>43</v>
      </c>
      <c r="L195" s="3">
        <v>3</v>
      </c>
      <c r="M195" s="3" t="s">
        <v>453</v>
      </c>
    </row>
    <row r="196" spans="1:13" x14ac:dyDescent="0.3">
      <c r="A196" s="3">
        <v>195</v>
      </c>
      <c r="B196" s="3" t="s">
        <v>224</v>
      </c>
      <c r="C196" s="3" t="s">
        <v>61</v>
      </c>
      <c r="D196" s="3" t="s">
        <v>25</v>
      </c>
      <c r="E196" s="3">
        <v>355</v>
      </c>
      <c r="F196" s="3">
        <v>45</v>
      </c>
      <c r="G196" s="3">
        <v>95</v>
      </c>
      <c r="H196" s="3">
        <v>50</v>
      </c>
      <c r="I196" s="3">
        <v>40</v>
      </c>
      <c r="J196" s="3">
        <v>50</v>
      </c>
      <c r="K196" s="3">
        <v>75</v>
      </c>
      <c r="L196" s="3">
        <v>3</v>
      </c>
      <c r="M196" s="3" t="s">
        <v>453</v>
      </c>
    </row>
    <row r="197" spans="1:13" x14ac:dyDescent="0.3">
      <c r="A197" s="3">
        <v>196</v>
      </c>
      <c r="B197" s="3" t="s">
        <v>225</v>
      </c>
      <c r="C197" s="3" t="s">
        <v>61</v>
      </c>
      <c r="D197" s="3" t="s">
        <v>25</v>
      </c>
      <c r="E197" s="3">
        <v>495</v>
      </c>
      <c r="F197" s="3">
        <v>75</v>
      </c>
      <c r="G197" s="3">
        <v>125</v>
      </c>
      <c r="H197" s="3">
        <v>100</v>
      </c>
      <c r="I197" s="3">
        <v>70</v>
      </c>
      <c r="J197" s="3">
        <v>80</v>
      </c>
      <c r="K197" s="3">
        <v>45</v>
      </c>
      <c r="L197" s="3">
        <v>3</v>
      </c>
      <c r="M197" s="3" t="s">
        <v>453</v>
      </c>
    </row>
    <row r="198" spans="1:13" x14ac:dyDescent="0.3">
      <c r="A198" s="3">
        <v>197</v>
      </c>
      <c r="B198" s="3" t="s">
        <v>226</v>
      </c>
      <c r="C198" s="3" t="s">
        <v>13</v>
      </c>
      <c r="D198" s="3" t="s">
        <v>20</v>
      </c>
      <c r="E198" s="3">
        <v>460</v>
      </c>
      <c r="F198" s="3">
        <v>99</v>
      </c>
      <c r="G198" s="3">
        <v>68</v>
      </c>
      <c r="H198" s="3">
        <v>83</v>
      </c>
      <c r="I198" s="3">
        <v>72</v>
      </c>
      <c r="J198" s="3">
        <v>87</v>
      </c>
      <c r="K198" s="3">
        <v>51</v>
      </c>
      <c r="L198" s="3">
        <v>3</v>
      </c>
      <c r="M198" s="3" t="s">
        <v>453</v>
      </c>
    </row>
    <row r="199" spans="1:13" x14ac:dyDescent="0.3">
      <c r="A199" s="3">
        <v>198</v>
      </c>
      <c r="B199" s="3" t="s">
        <v>227</v>
      </c>
      <c r="C199" s="3" t="s">
        <v>76</v>
      </c>
      <c r="D199" s="3" t="s">
        <v>53</v>
      </c>
      <c r="E199" s="3">
        <v>290</v>
      </c>
      <c r="F199" s="3">
        <v>70</v>
      </c>
      <c r="G199" s="3">
        <v>40</v>
      </c>
      <c r="H199" s="3">
        <v>50</v>
      </c>
      <c r="I199" s="3">
        <v>55</v>
      </c>
      <c r="J199" s="3">
        <v>50</v>
      </c>
      <c r="K199" s="3">
        <v>25</v>
      </c>
      <c r="L199" s="3">
        <v>3</v>
      </c>
      <c r="M199" s="3" t="s">
        <v>453</v>
      </c>
    </row>
    <row r="200" spans="1:13" x14ac:dyDescent="0.3">
      <c r="A200" s="3">
        <v>199</v>
      </c>
      <c r="B200" s="3" t="s">
        <v>228</v>
      </c>
      <c r="C200" s="3" t="s">
        <v>76</v>
      </c>
      <c r="D200" s="3" t="s">
        <v>53</v>
      </c>
      <c r="E200" s="3">
        <v>410</v>
      </c>
      <c r="F200" s="3">
        <v>90</v>
      </c>
      <c r="G200" s="3">
        <v>60</v>
      </c>
      <c r="H200" s="3">
        <v>70</v>
      </c>
      <c r="I200" s="3">
        <v>75</v>
      </c>
      <c r="J200" s="3">
        <v>70</v>
      </c>
      <c r="K200" s="3">
        <v>45</v>
      </c>
      <c r="L200" s="3">
        <v>3</v>
      </c>
      <c r="M200" s="3" t="s">
        <v>453</v>
      </c>
    </row>
    <row r="201" spans="1:13" x14ac:dyDescent="0.3">
      <c r="A201" s="3">
        <v>200</v>
      </c>
      <c r="B201" s="3" t="s">
        <v>229</v>
      </c>
      <c r="C201" s="3" t="s">
        <v>76</v>
      </c>
      <c r="D201" s="3" t="s">
        <v>53</v>
      </c>
      <c r="E201" s="3">
        <v>530</v>
      </c>
      <c r="F201" s="3">
        <v>110</v>
      </c>
      <c r="G201" s="3">
        <v>80</v>
      </c>
      <c r="H201" s="3">
        <v>90</v>
      </c>
      <c r="I201" s="3">
        <v>95</v>
      </c>
      <c r="J201" s="3">
        <v>90</v>
      </c>
      <c r="K201" s="3">
        <v>65</v>
      </c>
      <c r="L201" s="3">
        <v>3</v>
      </c>
      <c r="M201" s="3" t="s">
        <v>453</v>
      </c>
    </row>
    <row r="202" spans="1:13" x14ac:dyDescent="0.3">
      <c r="A202" s="3">
        <v>201</v>
      </c>
      <c r="B202" s="3" t="s">
        <v>230</v>
      </c>
      <c r="C202" s="3" t="s">
        <v>53</v>
      </c>
      <c r="D202" s="3" t="s">
        <v>61</v>
      </c>
      <c r="E202" s="3">
        <v>485</v>
      </c>
      <c r="F202" s="3">
        <v>100</v>
      </c>
      <c r="G202" s="3">
        <v>90</v>
      </c>
      <c r="H202" s="3">
        <v>130</v>
      </c>
      <c r="I202" s="3">
        <v>45</v>
      </c>
      <c r="J202" s="3">
        <v>65</v>
      </c>
      <c r="K202" s="3">
        <v>55</v>
      </c>
      <c r="L202" s="3">
        <v>3</v>
      </c>
      <c r="M202" s="3" t="s">
        <v>453</v>
      </c>
    </row>
    <row r="203" spans="1:13" x14ac:dyDescent="0.3">
      <c r="A203" s="3">
        <v>202</v>
      </c>
      <c r="B203" s="3" t="s">
        <v>231</v>
      </c>
      <c r="C203" s="3" t="s">
        <v>22</v>
      </c>
      <c r="D203" s="3" t="s">
        <v>20</v>
      </c>
      <c r="E203" s="3">
        <v>600</v>
      </c>
      <c r="F203" s="3">
        <v>95</v>
      </c>
      <c r="G203" s="3">
        <v>135</v>
      </c>
      <c r="H203" s="3">
        <v>80</v>
      </c>
      <c r="I203" s="3">
        <v>110</v>
      </c>
      <c r="J203" s="3">
        <v>80</v>
      </c>
      <c r="K203" s="3">
        <v>100</v>
      </c>
      <c r="L203" s="3">
        <v>3</v>
      </c>
      <c r="M203" s="3" t="s">
        <v>453</v>
      </c>
    </row>
    <row r="204" spans="1:13" x14ac:dyDescent="0.3">
      <c r="A204" s="3">
        <v>203</v>
      </c>
      <c r="B204" s="3" t="s">
        <v>232</v>
      </c>
      <c r="C204" s="3" t="s">
        <v>22</v>
      </c>
      <c r="D204" s="3" t="s">
        <v>20</v>
      </c>
      <c r="E204" s="3">
        <v>700</v>
      </c>
      <c r="F204" s="3">
        <v>95</v>
      </c>
      <c r="G204" s="3">
        <v>145</v>
      </c>
      <c r="H204" s="3">
        <v>130</v>
      </c>
      <c r="I204" s="3">
        <v>120</v>
      </c>
      <c r="J204" s="3">
        <v>90</v>
      </c>
      <c r="K204" s="3">
        <v>120</v>
      </c>
      <c r="L204" s="3">
        <v>3</v>
      </c>
      <c r="M204" s="3" t="s">
        <v>453</v>
      </c>
    </row>
    <row r="205" spans="1:13" x14ac:dyDescent="0.3">
      <c r="A205" s="3">
        <v>204</v>
      </c>
      <c r="B205" s="3" t="s">
        <v>233</v>
      </c>
      <c r="C205" s="3" t="s">
        <v>70</v>
      </c>
      <c r="D205" s="3" t="s">
        <v>65</v>
      </c>
      <c r="E205" s="3">
        <v>300</v>
      </c>
      <c r="F205" s="3">
        <v>40</v>
      </c>
      <c r="G205" s="3">
        <v>55</v>
      </c>
      <c r="H205" s="3">
        <v>80</v>
      </c>
      <c r="I205" s="3">
        <v>35</v>
      </c>
      <c r="J205" s="3">
        <v>60</v>
      </c>
      <c r="K205" s="3">
        <v>30</v>
      </c>
      <c r="L205" s="3">
        <v>3</v>
      </c>
      <c r="M205" s="3" t="s">
        <v>453</v>
      </c>
    </row>
    <row r="206" spans="1:13" x14ac:dyDescent="0.3">
      <c r="A206" s="3">
        <v>205</v>
      </c>
      <c r="B206" s="3" t="s">
        <v>234</v>
      </c>
      <c r="C206" s="3" t="s">
        <v>70</v>
      </c>
      <c r="D206" s="3" t="s">
        <v>65</v>
      </c>
      <c r="E206" s="3">
        <v>420</v>
      </c>
      <c r="F206" s="3">
        <v>60</v>
      </c>
      <c r="G206" s="3">
        <v>75</v>
      </c>
      <c r="H206" s="3">
        <v>100</v>
      </c>
      <c r="I206" s="3">
        <v>55</v>
      </c>
      <c r="J206" s="3">
        <v>80</v>
      </c>
      <c r="K206" s="3">
        <v>50</v>
      </c>
      <c r="L206" s="3">
        <v>3</v>
      </c>
      <c r="M206" s="3" t="s">
        <v>453</v>
      </c>
    </row>
    <row r="207" spans="1:13" x14ac:dyDescent="0.3">
      <c r="A207" s="3">
        <v>206</v>
      </c>
      <c r="B207" s="3" t="s">
        <v>235</v>
      </c>
      <c r="C207" s="3" t="s">
        <v>70</v>
      </c>
      <c r="D207" s="3" t="s">
        <v>65</v>
      </c>
      <c r="E207" s="3">
        <v>600</v>
      </c>
      <c r="F207" s="3">
        <v>80</v>
      </c>
      <c r="G207" s="3">
        <v>135</v>
      </c>
      <c r="H207" s="3">
        <v>130</v>
      </c>
      <c r="I207" s="3">
        <v>95</v>
      </c>
      <c r="J207" s="3">
        <v>90</v>
      </c>
      <c r="K207" s="3">
        <v>70</v>
      </c>
      <c r="L207" s="3">
        <v>3</v>
      </c>
      <c r="M207" s="3" t="s">
        <v>453</v>
      </c>
    </row>
    <row r="208" spans="1:13" x14ac:dyDescent="0.3">
      <c r="A208" s="3">
        <v>207</v>
      </c>
      <c r="B208" s="3" t="s">
        <v>236</v>
      </c>
      <c r="C208" s="3" t="s">
        <v>70</v>
      </c>
      <c r="D208" s="3" t="s">
        <v>65</v>
      </c>
      <c r="E208" s="3">
        <v>700</v>
      </c>
      <c r="F208" s="3">
        <v>80</v>
      </c>
      <c r="G208" s="3">
        <v>145</v>
      </c>
      <c r="H208" s="3">
        <v>150</v>
      </c>
      <c r="I208" s="3">
        <v>105</v>
      </c>
      <c r="J208" s="3">
        <v>110</v>
      </c>
      <c r="K208" s="3">
        <v>110</v>
      </c>
      <c r="L208" s="3">
        <v>3</v>
      </c>
      <c r="M208" s="3" t="s">
        <v>453</v>
      </c>
    </row>
    <row r="209" spans="1:13" x14ac:dyDescent="0.3">
      <c r="A209" s="3">
        <v>208</v>
      </c>
      <c r="B209" s="3" t="s">
        <v>237</v>
      </c>
      <c r="C209" s="3" t="s">
        <v>22</v>
      </c>
      <c r="D209" s="3" t="s">
        <v>65</v>
      </c>
      <c r="E209" s="3">
        <v>600</v>
      </c>
      <c r="F209" s="3">
        <v>80</v>
      </c>
      <c r="G209" s="3">
        <v>80</v>
      </c>
      <c r="H209" s="3">
        <v>90</v>
      </c>
      <c r="I209" s="3">
        <v>110</v>
      </c>
      <c r="J209" s="3">
        <v>130</v>
      </c>
      <c r="K209" s="3">
        <v>110</v>
      </c>
      <c r="L209" s="3">
        <v>3</v>
      </c>
      <c r="M209" s="3" t="s">
        <v>451</v>
      </c>
    </row>
    <row r="210" spans="1:13" x14ac:dyDescent="0.3">
      <c r="A210" s="3">
        <v>209</v>
      </c>
      <c r="B210" s="3" t="s">
        <v>238</v>
      </c>
      <c r="C210" s="3" t="s">
        <v>22</v>
      </c>
      <c r="D210" s="3" t="s">
        <v>65</v>
      </c>
      <c r="E210" s="3">
        <v>700</v>
      </c>
      <c r="F210" s="3">
        <v>80</v>
      </c>
      <c r="G210" s="3">
        <v>100</v>
      </c>
      <c r="H210" s="3">
        <v>120</v>
      </c>
      <c r="I210" s="3">
        <v>140</v>
      </c>
      <c r="J210" s="3">
        <v>150</v>
      </c>
      <c r="K210" s="3">
        <v>110</v>
      </c>
      <c r="L210" s="3">
        <v>3</v>
      </c>
      <c r="M210" s="3" t="s">
        <v>451</v>
      </c>
    </row>
    <row r="211" spans="1:13" x14ac:dyDescent="0.3">
      <c r="A211" s="3">
        <v>210</v>
      </c>
      <c r="B211" s="3" t="s">
        <v>239</v>
      </c>
      <c r="C211" s="3" t="s">
        <v>22</v>
      </c>
      <c r="D211" s="3" t="s">
        <v>65</v>
      </c>
      <c r="E211" s="3">
        <v>600</v>
      </c>
      <c r="F211" s="3">
        <v>80</v>
      </c>
      <c r="G211" s="3">
        <v>90</v>
      </c>
      <c r="H211" s="3">
        <v>80</v>
      </c>
      <c r="I211" s="3">
        <v>130</v>
      </c>
      <c r="J211" s="3">
        <v>110</v>
      </c>
      <c r="K211" s="3">
        <v>110</v>
      </c>
      <c r="L211" s="3">
        <v>3</v>
      </c>
      <c r="M211" s="3" t="s">
        <v>451</v>
      </c>
    </row>
    <row r="212" spans="1:13" x14ac:dyDescent="0.3">
      <c r="A212" s="3">
        <v>211</v>
      </c>
      <c r="B212" s="3" t="s">
        <v>240</v>
      </c>
      <c r="C212" s="3" t="s">
        <v>22</v>
      </c>
      <c r="D212" s="3" t="s">
        <v>65</v>
      </c>
      <c r="E212" s="3">
        <v>700</v>
      </c>
      <c r="F212" s="3">
        <v>80</v>
      </c>
      <c r="G212" s="3">
        <v>130</v>
      </c>
      <c r="H212" s="3">
        <v>100</v>
      </c>
      <c r="I212" s="3">
        <v>160</v>
      </c>
      <c r="J212" s="3">
        <v>120</v>
      </c>
      <c r="K212" s="3">
        <v>110</v>
      </c>
      <c r="L212" s="3">
        <v>3</v>
      </c>
      <c r="M212" s="3" t="s">
        <v>451</v>
      </c>
    </row>
    <row r="213" spans="1:13" x14ac:dyDescent="0.3">
      <c r="A213" s="3">
        <v>212</v>
      </c>
      <c r="B213" s="3" t="s">
        <v>241</v>
      </c>
      <c r="C213" s="3" t="s">
        <v>38</v>
      </c>
      <c r="D213" s="3" t="s">
        <v>19</v>
      </c>
      <c r="E213" s="3">
        <v>770</v>
      </c>
      <c r="F213" s="3">
        <v>100</v>
      </c>
      <c r="G213" s="3">
        <v>180</v>
      </c>
      <c r="H213" s="3">
        <v>160</v>
      </c>
      <c r="I213" s="3">
        <v>150</v>
      </c>
      <c r="J213" s="3">
        <v>90</v>
      </c>
      <c r="K213" s="3">
        <v>90</v>
      </c>
      <c r="L213" s="3">
        <v>3</v>
      </c>
      <c r="M213" s="3" t="s">
        <v>451</v>
      </c>
    </row>
    <row r="214" spans="1:13" x14ac:dyDescent="0.3">
      <c r="A214" s="3">
        <v>213</v>
      </c>
      <c r="B214" s="3" t="s">
        <v>242</v>
      </c>
      <c r="C214" s="3" t="s">
        <v>22</v>
      </c>
      <c r="D214" s="3" t="s">
        <v>20</v>
      </c>
      <c r="E214" s="3">
        <v>680</v>
      </c>
      <c r="F214" s="3">
        <v>105</v>
      </c>
      <c r="G214" s="3">
        <v>150</v>
      </c>
      <c r="H214" s="3">
        <v>90</v>
      </c>
      <c r="I214" s="3">
        <v>150</v>
      </c>
      <c r="J214" s="3">
        <v>90</v>
      </c>
      <c r="K214" s="3">
        <v>95</v>
      </c>
      <c r="L214" s="3">
        <v>3</v>
      </c>
      <c r="M214" s="3" t="s">
        <v>451</v>
      </c>
    </row>
    <row r="215" spans="1:13" x14ac:dyDescent="0.3">
      <c r="A215" s="3">
        <v>214</v>
      </c>
      <c r="B215" s="3" t="s">
        <v>243</v>
      </c>
      <c r="C215" s="3" t="s">
        <v>22</v>
      </c>
      <c r="D215" s="3" t="s">
        <v>20</v>
      </c>
      <c r="E215" s="3">
        <v>780</v>
      </c>
      <c r="F215" s="3">
        <v>105</v>
      </c>
      <c r="G215" s="3">
        <v>180</v>
      </c>
      <c r="H215" s="3">
        <v>100</v>
      </c>
      <c r="I215" s="3">
        <v>180</v>
      </c>
      <c r="J215" s="3">
        <v>100</v>
      </c>
      <c r="K215" s="3">
        <v>115</v>
      </c>
      <c r="L215" s="3">
        <v>3</v>
      </c>
      <c r="M215" s="3" t="s">
        <v>451</v>
      </c>
    </row>
    <row r="216" spans="1:13" x14ac:dyDescent="0.3">
      <c r="A216" s="3">
        <v>215</v>
      </c>
      <c r="B216" s="3" t="s">
        <v>244</v>
      </c>
      <c r="C216" s="3" t="s">
        <v>70</v>
      </c>
      <c r="D216" s="3" t="s">
        <v>65</v>
      </c>
      <c r="E216" s="3">
        <v>600</v>
      </c>
      <c r="F216" s="3">
        <v>100</v>
      </c>
      <c r="G216" s="3">
        <v>100</v>
      </c>
      <c r="H216" s="3">
        <v>100</v>
      </c>
      <c r="I216" s="3">
        <v>100</v>
      </c>
      <c r="J216" s="3">
        <v>100</v>
      </c>
      <c r="K216" s="3">
        <v>100</v>
      </c>
      <c r="L216" s="3">
        <v>3</v>
      </c>
      <c r="M216" s="3" t="s">
        <v>451</v>
      </c>
    </row>
    <row r="217" spans="1:13" x14ac:dyDescent="0.3">
      <c r="A217" s="3">
        <v>216</v>
      </c>
      <c r="B217" s="3" t="s">
        <v>245</v>
      </c>
      <c r="C217" s="3" t="s">
        <v>13</v>
      </c>
      <c r="D217" s="3" t="s">
        <v>38</v>
      </c>
      <c r="E217" s="3">
        <v>525</v>
      </c>
      <c r="F217" s="3">
        <v>95</v>
      </c>
      <c r="G217" s="3">
        <v>109</v>
      </c>
      <c r="H217" s="3">
        <v>105</v>
      </c>
      <c r="I217" s="3">
        <v>75</v>
      </c>
      <c r="J217" s="3">
        <v>85</v>
      </c>
      <c r="K217" s="3">
        <v>56</v>
      </c>
      <c r="L217" s="3">
        <v>4</v>
      </c>
      <c r="M217" s="3" t="s">
        <v>453</v>
      </c>
    </row>
    <row r="218" spans="1:13" x14ac:dyDescent="0.3">
      <c r="A218" s="3">
        <v>217</v>
      </c>
      <c r="B218" s="3" t="s">
        <v>246</v>
      </c>
      <c r="C218" s="3" t="s">
        <v>19</v>
      </c>
      <c r="D218" s="3" t="s">
        <v>54</v>
      </c>
      <c r="E218" s="3">
        <v>405</v>
      </c>
      <c r="F218" s="3">
        <v>64</v>
      </c>
      <c r="G218" s="3">
        <v>78</v>
      </c>
      <c r="H218" s="3">
        <v>52</v>
      </c>
      <c r="I218" s="3">
        <v>78</v>
      </c>
      <c r="J218" s="3">
        <v>52</v>
      </c>
      <c r="K218" s="3">
        <v>81</v>
      </c>
      <c r="L218" s="3">
        <v>4</v>
      </c>
      <c r="M218" s="3" t="s">
        <v>453</v>
      </c>
    </row>
    <row r="219" spans="1:13" x14ac:dyDescent="0.3">
      <c r="A219" s="3">
        <v>218</v>
      </c>
      <c r="B219" s="3" t="s">
        <v>247</v>
      </c>
      <c r="C219" s="3" t="s">
        <v>19</v>
      </c>
      <c r="D219" s="3" t="s">
        <v>54</v>
      </c>
      <c r="E219" s="3">
        <v>534</v>
      </c>
      <c r="F219" s="3">
        <v>76</v>
      </c>
      <c r="G219" s="3">
        <v>104</v>
      </c>
      <c r="H219" s="3">
        <v>71</v>
      </c>
      <c r="I219" s="3">
        <v>104</v>
      </c>
      <c r="J219" s="3">
        <v>71</v>
      </c>
      <c r="K219" s="3">
        <v>108</v>
      </c>
      <c r="L219" s="3">
        <v>4</v>
      </c>
      <c r="M219" s="3" t="s">
        <v>453</v>
      </c>
    </row>
    <row r="220" spans="1:13" x14ac:dyDescent="0.3">
      <c r="A220" s="3">
        <v>219</v>
      </c>
      <c r="B220" s="3" t="s">
        <v>248</v>
      </c>
      <c r="C220" s="3" t="s">
        <v>53</v>
      </c>
      <c r="D220" s="3" t="s">
        <v>70</v>
      </c>
      <c r="E220" s="3">
        <v>530</v>
      </c>
      <c r="F220" s="3">
        <v>84</v>
      </c>
      <c r="G220" s="3">
        <v>86</v>
      </c>
      <c r="H220" s="3">
        <v>88</v>
      </c>
      <c r="I220" s="3">
        <v>111</v>
      </c>
      <c r="J220" s="3">
        <v>101</v>
      </c>
      <c r="K220" s="3">
        <v>60</v>
      </c>
      <c r="L220" s="3">
        <v>4</v>
      </c>
      <c r="M220" s="3" t="s">
        <v>453</v>
      </c>
    </row>
    <row r="221" spans="1:13" x14ac:dyDescent="0.3">
      <c r="A221" s="3">
        <v>220</v>
      </c>
      <c r="B221" s="3" t="s">
        <v>249</v>
      </c>
      <c r="C221" s="3" t="s">
        <v>31</v>
      </c>
      <c r="D221" s="3" t="s">
        <v>20</v>
      </c>
      <c r="E221" s="3">
        <v>245</v>
      </c>
      <c r="F221" s="3">
        <v>40</v>
      </c>
      <c r="G221" s="3">
        <v>55</v>
      </c>
      <c r="H221" s="3">
        <v>30</v>
      </c>
      <c r="I221" s="3">
        <v>30</v>
      </c>
      <c r="J221" s="3">
        <v>30</v>
      </c>
      <c r="K221" s="3">
        <v>60</v>
      </c>
      <c r="L221" s="3">
        <v>4</v>
      </c>
      <c r="M221" s="3" t="s">
        <v>453</v>
      </c>
    </row>
    <row r="222" spans="1:13" x14ac:dyDescent="0.3">
      <c r="A222" s="3">
        <v>221</v>
      </c>
      <c r="B222" s="3" t="s">
        <v>250</v>
      </c>
      <c r="C222" s="3" t="s">
        <v>31</v>
      </c>
      <c r="D222" s="3" t="s">
        <v>20</v>
      </c>
      <c r="E222" s="3">
        <v>340</v>
      </c>
      <c r="F222" s="3">
        <v>55</v>
      </c>
      <c r="G222" s="3">
        <v>75</v>
      </c>
      <c r="H222" s="3">
        <v>50</v>
      </c>
      <c r="I222" s="3">
        <v>40</v>
      </c>
      <c r="J222" s="3">
        <v>40</v>
      </c>
      <c r="K222" s="3">
        <v>80</v>
      </c>
      <c r="L222" s="3">
        <v>4</v>
      </c>
      <c r="M222" s="3" t="s">
        <v>453</v>
      </c>
    </row>
    <row r="223" spans="1:13" x14ac:dyDescent="0.3">
      <c r="A223" s="3">
        <v>222</v>
      </c>
      <c r="B223" s="3" t="s">
        <v>251</v>
      </c>
      <c r="C223" s="3" t="s">
        <v>31</v>
      </c>
      <c r="D223" s="3" t="s">
        <v>20</v>
      </c>
      <c r="E223" s="3">
        <v>485</v>
      </c>
      <c r="F223" s="3">
        <v>85</v>
      </c>
      <c r="G223" s="3">
        <v>120</v>
      </c>
      <c r="H223" s="3">
        <v>70</v>
      </c>
      <c r="I223" s="3">
        <v>50</v>
      </c>
      <c r="J223" s="3">
        <v>60</v>
      </c>
      <c r="K223" s="3">
        <v>100</v>
      </c>
      <c r="L223" s="3">
        <v>4</v>
      </c>
      <c r="M223" s="3" t="s">
        <v>453</v>
      </c>
    </row>
    <row r="224" spans="1:13" x14ac:dyDescent="0.3">
      <c r="A224" s="3">
        <v>223</v>
      </c>
      <c r="B224" s="3" t="s">
        <v>252</v>
      </c>
      <c r="C224" s="3" t="s">
        <v>31</v>
      </c>
      <c r="D224" s="3" t="s">
        <v>53</v>
      </c>
      <c r="E224" s="3">
        <v>410</v>
      </c>
      <c r="F224" s="3">
        <v>79</v>
      </c>
      <c r="G224" s="3">
        <v>85</v>
      </c>
      <c r="H224" s="3">
        <v>60</v>
      </c>
      <c r="I224" s="3">
        <v>55</v>
      </c>
      <c r="J224" s="3">
        <v>60</v>
      </c>
      <c r="K224" s="3">
        <v>71</v>
      </c>
      <c r="L224" s="3">
        <v>4</v>
      </c>
      <c r="M224" s="3" t="s">
        <v>453</v>
      </c>
    </row>
    <row r="225" spans="1:13" x14ac:dyDescent="0.3">
      <c r="A225" s="3">
        <v>224</v>
      </c>
      <c r="B225" s="3" t="s">
        <v>253</v>
      </c>
      <c r="C225" s="3" t="s">
        <v>13</v>
      </c>
      <c r="D225" s="3" t="s">
        <v>14</v>
      </c>
      <c r="E225" s="3">
        <v>280</v>
      </c>
      <c r="F225" s="3">
        <v>40</v>
      </c>
      <c r="G225" s="3">
        <v>30</v>
      </c>
      <c r="H225" s="3">
        <v>35</v>
      </c>
      <c r="I225" s="3">
        <v>50</v>
      </c>
      <c r="J225" s="3">
        <v>70</v>
      </c>
      <c r="K225" s="3">
        <v>55</v>
      </c>
      <c r="L225" s="3">
        <v>4</v>
      </c>
      <c r="M225" s="3" t="s">
        <v>453</v>
      </c>
    </row>
    <row r="226" spans="1:13" x14ac:dyDescent="0.3">
      <c r="A226" s="3">
        <v>225</v>
      </c>
      <c r="B226" s="3" t="s">
        <v>254</v>
      </c>
      <c r="C226" s="3" t="s">
        <v>13</v>
      </c>
      <c r="D226" s="3" t="s">
        <v>14</v>
      </c>
      <c r="E226" s="3">
        <v>515</v>
      </c>
      <c r="F226" s="3">
        <v>60</v>
      </c>
      <c r="G226" s="3">
        <v>70</v>
      </c>
      <c r="H226" s="3">
        <v>65</v>
      </c>
      <c r="I226" s="3">
        <v>125</v>
      </c>
      <c r="J226" s="3">
        <v>105</v>
      </c>
      <c r="K226" s="3">
        <v>90</v>
      </c>
      <c r="L226" s="3">
        <v>4</v>
      </c>
      <c r="M226" s="3" t="s">
        <v>453</v>
      </c>
    </row>
    <row r="227" spans="1:13" x14ac:dyDescent="0.3">
      <c r="A227" s="3">
        <v>226</v>
      </c>
      <c r="B227" s="3" t="s">
        <v>255</v>
      </c>
      <c r="C227" s="3" t="s">
        <v>61</v>
      </c>
      <c r="D227" s="3" t="s">
        <v>70</v>
      </c>
      <c r="E227" s="3">
        <v>350</v>
      </c>
      <c r="F227" s="3">
        <v>30</v>
      </c>
      <c r="G227" s="3">
        <v>42</v>
      </c>
      <c r="H227" s="3">
        <v>118</v>
      </c>
      <c r="I227" s="3">
        <v>42</v>
      </c>
      <c r="J227" s="3">
        <v>88</v>
      </c>
      <c r="K227" s="3">
        <v>30</v>
      </c>
      <c r="L227" s="3">
        <v>4</v>
      </c>
      <c r="M227" s="3" t="s">
        <v>453</v>
      </c>
    </row>
    <row r="228" spans="1:13" x14ac:dyDescent="0.3">
      <c r="A228" s="3">
        <v>227</v>
      </c>
      <c r="B228" s="3" t="s">
        <v>256</v>
      </c>
      <c r="C228" s="3" t="s">
        <v>61</v>
      </c>
      <c r="D228" s="3" t="s">
        <v>70</v>
      </c>
      <c r="E228" s="3">
        <v>495</v>
      </c>
      <c r="F228" s="3">
        <v>60</v>
      </c>
      <c r="G228" s="3">
        <v>52</v>
      </c>
      <c r="H228" s="3">
        <v>168</v>
      </c>
      <c r="I228" s="3">
        <v>47</v>
      </c>
      <c r="J228" s="3">
        <v>138</v>
      </c>
      <c r="K228" s="3">
        <v>30</v>
      </c>
      <c r="L228" s="3">
        <v>4</v>
      </c>
      <c r="M228" s="3" t="s">
        <v>453</v>
      </c>
    </row>
    <row r="229" spans="1:13" x14ac:dyDescent="0.3">
      <c r="A229" s="3">
        <v>228</v>
      </c>
      <c r="B229" s="3" t="s">
        <v>257</v>
      </c>
      <c r="C229" s="3" t="s">
        <v>25</v>
      </c>
      <c r="D229" s="3" t="s">
        <v>13</v>
      </c>
      <c r="E229" s="3">
        <v>424</v>
      </c>
      <c r="F229" s="3">
        <v>60</v>
      </c>
      <c r="G229" s="3">
        <v>59</v>
      </c>
      <c r="H229" s="3">
        <v>85</v>
      </c>
      <c r="I229" s="3">
        <v>79</v>
      </c>
      <c r="J229" s="3">
        <v>105</v>
      </c>
      <c r="K229" s="3">
        <v>36</v>
      </c>
      <c r="L229" s="3">
        <v>4</v>
      </c>
      <c r="M229" s="3" t="s">
        <v>453</v>
      </c>
    </row>
    <row r="230" spans="1:13" x14ac:dyDescent="0.3">
      <c r="A230" s="3">
        <v>229</v>
      </c>
      <c r="B230" s="3" t="s">
        <v>258</v>
      </c>
      <c r="C230" s="3" t="s">
        <v>25</v>
      </c>
      <c r="D230" s="3" t="s">
        <v>38</v>
      </c>
      <c r="E230" s="3">
        <v>424</v>
      </c>
      <c r="F230" s="3">
        <v>60</v>
      </c>
      <c r="G230" s="3">
        <v>79</v>
      </c>
      <c r="H230" s="3">
        <v>105</v>
      </c>
      <c r="I230" s="3">
        <v>59</v>
      </c>
      <c r="J230" s="3">
        <v>85</v>
      </c>
      <c r="K230" s="3">
        <v>36</v>
      </c>
      <c r="L230" s="3">
        <v>4</v>
      </c>
      <c r="M230" s="3" t="s">
        <v>453</v>
      </c>
    </row>
    <row r="231" spans="1:13" x14ac:dyDescent="0.3">
      <c r="A231" s="3">
        <v>230</v>
      </c>
      <c r="B231" s="3" t="s">
        <v>259</v>
      </c>
      <c r="C231" s="3" t="s">
        <v>25</v>
      </c>
      <c r="D231" s="3" t="s">
        <v>70</v>
      </c>
      <c r="E231" s="3">
        <v>424</v>
      </c>
      <c r="F231" s="3">
        <v>60</v>
      </c>
      <c r="G231" s="3">
        <v>69</v>
      </c>
      <c r="H231" s="3">
        <v>95</v>
      </c>
      <c r="I231" s="3">
        <v>69</v>
      </c>
      <c r="J231" s="3">
        <v>95</v>
      </c>
      <c r="K231" s="3">
        <v>36</v>
      </c>
      <c r="L231" s="3">
        <v>4</v>
      </c>
      <c r="M231" s="3" t="s">
        <v>453</v>
      </c>
    </row>
    <row r="232" spans="1:13" x14ac:dyDescent="0.3">
      <c r="A232" s="3">
        <v>231</v>
      </c>
      <c r="B232" s="3" t="s">
        <v>260</v>
      </c>
      <c r="C232" s="3" t="s">
        <v>25</v>
      </c>
      <c r="D232" s="3" t="s">
        <v>20</v>
      </c>
      <c r="E232" s="3">
        <v>424</v>
      </c>
      <c r="F232" s="3">
        <v>70</v>
      </c>
      <c r="G232" s="3">
        <v>94</v>
      </c>
      <c r="H232" s="3">
        <v>50</v>
      </c>
      <c r="I232" s="3">
        <v>94</v>
      </c>
      <c r="J232" s="3">
        <v>50</v>
      </c>
      <c r="K232" s="3">
        <v>66</v>
      </c>
      <c r="L232" s="3">
        <v>4</v>
      </c>
      <c r="M232" s="3" t="s">
        <v>453</v>
      </c>
    </row>
    <row r="233" spans="1:13" x14ac:dyDescent="0.3">
      <c r="A233" s="3">
        <v>232</v>
      </c>
      <c r="B233" s="3" t="s">
        <v>261</v>
      </c>
      <c r="C233" s="3" t="s">
        <v>25</v>
      </c>
      <c r="D233" s="3" t="s">
        <v>20</v>
      </c>
      <c r="E233" s="3">
        <v>244</v>
      </c>
      <c r="F233" s="3">
        <v>30</v>
      </c>
      <c r="G233" s="3">
        <v>30</v>
      </c>
      <c r="H233" s="3">
        <v>42</v>
      </c>
      <c r="I233" s="3">
        <v>30</v>
      </c>
      <c r="J233" s="3">
        <v>42</v>
      </c>
      <c r="K233" s="3">
        <v>70</v>
      </c>
      <c r="L233" s="3">
        <v>4</v>
      </c>
      <c r="M233" s="3" t="s">
        <v>453</v>
      </c>
    </row>
    <row r="234" spans="1:13" x14ac:dyDescent="0.3">
      <c r="A234" s="3">
        <v>233</v>
      </c>
      <c r="B234" s="3" t="s">
        <v>262</v>
      </c>
      <c r="C234" s="3" t="s">
        <v>25</v>
      </c>
      <c r="D234" s="3" t="s">
        <v>20</v>
      </c>
      <c r="E234" s="3">
        <v>474</v>
      </c>
      <c r="F234" s="3">
        <v>70</v>
      </c>
      <c r="G234" s="3">
        <v>80</v>
      </c>
      <c r="H234" s="3">
        <v>102</v>
      </c>
      <c r="I234" s="3">
        <v>80</v>
      </c>
      <c r="J234" s="3">
        <v>102</v>
      </c>
      <c r="K234" s="3">
        <v>40</v>
      </c>
      <c r="L234" s="3">
        <v>4</v>
      </c>
      <c r="M234" s="3" t="s">
        <v>453</v>
      </c>
    </row>
    <row r="235" spans="1:13" x14ac:dyDescent="0.3">
      <c r="A235" s="3">
        <v>234</v>
      </c>
      <c r="B235" s="3" t="s">
        <v>263</v>
      </c>
      <c r="C235" s="3" t="s">
        <v>53</v>
      </c>
      <c r="D235" s="3" t="s">
        <v>38</v>
      </c>
      <c r="E235" s="3">
        <v>475</v>
      </c>
      <c r="F235" s="3">
        <v>111</v>
      </c>
      <c r="G235" s="3">
        <v>83</v>
      </c>
      <c r="H235" s="3">
        <v>68</v>
      </c>
      <c r="I235" s="3">
        <v>92</v>
      </c>
      <c r="J235" s="3">
        <v>82</v>
      </c>
      <c r="K235" s="3">
        <v>39</v>
      </c>
      <c r="L235" s="3">
        <v>4</v>
      </c>
      <c r="M235" s="3" t="s">
        <v>453</v>
      </c>
    </row>
    <row r="236" spans="1:13" x14ac:dyDescent="0.3">
      <c r="A236" s="3">
        <v>235</v>
      </c>
      <c r="B236" s="3" t="s">
        <v>264</v>
      </c>
      <c r="C236" s="3" t="s">
        <v>79</v>
      </c>
      <c r="D236" s="3" t="s">
        <v>20</v>
      </c>
      <c r="E236" s="3">
        <v>348</v>
      </c>
      <c r="F236" s="3">
        <v>90</v>
      </c>
      <c r="G236" s="3">
        <v>50</v>
      </c>
      <c r="H236" s="3">
        <v>34</v>
      </c>
      <c r="I236" s="3">
        <v>60</v>
      </c>
      <c r="J236" s="3">
        <v>44</v>
      </c>
      <c r="K236" s="3">
        <v>70</v>
      </c>
      <c r="L236" s="3">
        <v>4</v>
      </c>
      <c r="M236" s="3" t="s">
        <v>453</v>
      </c>
    </row>
    <row r="237" spans="1:13" x14ac:dyDescent="0.3">
      <c r="A237" s="3">
        <v>236</v>
      </c>
      <c r="B237" s="3" t="s">
        <v>265</v>
      </c>
      <c r="C237" s="3" t="s">
        <v>79</v>
      </c>
      <c r="D237" s="3" t="s">
        <v>20</v>
      </c>
      <c r="E237" s="3">
        <v>498</v>
      </c>
      <c r="F237" s="3">
        <v>150</v>
      </c>
      <c r="G237" s="3">
        <v>80</v>
      </c>
      <c r="H237" s="3">
        <v>44</v>
      </c>
      <c r="I237" s="3">
        <v>90</v>
      </c>
      <c r="J237" s="3">
        <v>54</v>
      </c>
      <c r="K237" s="3">
        <v>80</v>
      </c>
      <c r="L237" s="3">
        <v>4</v>
      </c>
      <c r="M237" s="3" t="s">
        <v>453</v>
      </c>
    </row>
    <row r="238" spans="1:13" x14ac:dyDescent="0.3">
      <c r="A238" s="3">
        <v>237</v>
      </c>
      <c r="B238" s="3" t="s">
        <v>266</v>
      </c>
      <c r="C238" s="3" t="s">
        <v>31</v>
      </c>
      <c r="D238" s="3" t="s">
        <v>54</v>
      </c>
      <c r="E238" s="3">
        <v>580</v>
      </c>
      <c r="F238" s="3">
        <v>65</v>
      </c>
      <c r="G238" s="3">
        <v>136</v>
      </c>
      <c r="H238" s="3">
        <v>94</v>
      </c>
      <c r="I238" s="3">
        <v>54</v>
      </c>
      <c r="J238" s="3">
        <v>96</v>
      </c>
      <c r="K238" s="3">
        <v>135</v>
      </c>
      <c r="L238" s="3">
        <v>4</v>
      </c>
      <c r="M238" s="3" t="s">
        <v>453</v>
      </c>
    </row>
    <row r="239" spans="1:13" x14ac:dyDescent="0.3">
      <c r="A239" s="3">
        <v>238</v>
      </c>
      <c r="B239" s="3" t="s">
        <v>267</v>
      </c>
      <c r="C239" s="3" t="s">
        <v>95</v>
      </c>
      <c r="D239" s="3" t="s">
        <v>20</v>
      </c>
      <c r="E239" s="3">
        <v>505</v>
      </c>
      <c r="F239" s="3">
        <v>100</v>
      </c>
      <c r="G239" s="3">
        <v>125</v>
      </c>
      <c r="H239" s="3">
        <v>52</v>
      </c>
      <c r="I239" s="3">
        <v>105</v>
      </c>
      <c r="J239" s="3">
        <v>52</v>
      </c>
      <c r="K239" s="3">
        <v>71</v>
      </c>
      <c r="L239" s="3">
        <v>4</v>
      </c>
      <c r="M239" s="3" t="s">
        <v>453</v>
      </c>
    </row>
    <row r="240" spans="1:13" x14ac:dyDescent="0.3">
      <c r="A240" s="3">
        <v>239</v>
      </c>
      <c r="B240" s="3" t="s">
        <v>268</v>
      </c>
      <c r="C240" s="3" t="s">
        <v>14</v>
      </c>
      <c r="D240" s="3" t="s">
        <v>95</v>
      </c>
      <c r="E240" s="3">
        <v>329</v>
      </c>
      <c r="F240" s="3">
        <v>63</v>
      </c>
      <c r="G240" s="3">
        <v>63</v>
      </c>
      <c r="H240" s="3">
        <v>47</v>
      </c>
      <c r="I240" s="3">
        <v>41</v>
      </c>
      <c r="J240" s="3">
        <v>41</v>
      </c>
      <c r="K240" s="3">
        <v>74</v>
      </c>
      <c r="L240" s="3">
        <v>4</v>
      </c>
      <c r="M240" s="3" t="s">
        <v>453</v>
      </c>
    </row>
    <row r="241" spans="1:13" x14ac:dyDescent="0.3">
      <c r="A241" s="3">
        <v>240</v>
      </c>
      <c r="B241" s="3" t="s">
        <v>269</v>
      </c>
      <c r="C241" s="3" t="s">
        <v>14</v>
      </c>
      <c r="D241" s="3" t="s">
        <v>95</v>
      </c>
      <c r="E241" s="3">
        <v>479</v>
      </c>
      <c r="F241" s="3">
        <v>103</v>
      </c>
      <c r="G241" s="3">
        <v>93</v>
      </c>
      <c r="H241" s="3">
        <v>67</v>
      </c>
      <c r="I241" s="3">
        <v>71</v>
      </c>
      <c r="J241" s="3">
        <v>61</v>
      </c>
      <c r="K241" s="3">
        <v>84</v>
      </c>
      <c r="L241" s="3">
        <v>4</v>
      </c>
      <c r="M241" s="3" t="s">
        <v>453</v>
      </c>
    </row>
    <row r="242" spans="1:13" x14ac:dyDescent="0.3">
      <c r="A242" s="3">
        <v>241</v>
      </c>
      <c r="B242" s="3" t="s">
        <v>270</v>
      </c>
      <c r="C242" s="3" t="s">
        <v>70</v>
      </c>
      <c r="D242" s="3" t="s">
        <v>65</v>
      </c>
      <c r="E242" s="3">
        <v>300</v>
      </c>
      <c r="F242" s="3">
        <v>57</v>
      </c>
      <c r="G242" s="3">
        <v>24</v>
      </c>
      <c r="H242" s="3">
        <v>86</v>
      </c>
      <c r="I242" s="3">
        <v>24</v>
      </c>
      <c r="J242" s="3">
        <v>86</v>
      </c>
      <c r="K242" s="3">
        <v>23</v>
      </c>
      <c r="L242" s="3">
        <v>4</v>
      </c>
      <c r="M242" s="3" t="s">
        <v>453</v>
      </c>
    </row>
    <row r="243" spans="1:13" x14ac:dyDescent="0.3">
      <c r="A243" s="3">
        <v>242</v>
      </c>
      <c r="B243" s="3" t="s">
        <v>271</v>
      </c>
      <c r="C243" s="3" t="s">
        <v>70</v>
      </c>
      <c r="D243" s="3" t="s">
        <v>65</v>
      </c>
      <c r="E243" s="3">
        <v>500</v>
      </c>
      <c r="F243" s="3">
        <v>67</v>
      </c>
      <c r="G243" s="3">
        <v>89</v>
      </c>
      <c r="H243" s="3">
        <v>116</v>
      </c>
      <c r="I243" s="3">
        <v>79</v>
      </c>
      <c r="J243" s="3">
        <v>116</v>
      </c>
      <c r="K243" s="3">
        <v>33</v>
      </c>
      <c r="L243" s="3">
        <v>4</v>
      </c>
      <c r="M243" s="3" t="s">
        <v>453</v>
      </c>
    </row>
    <row r="244" spans="1:13" x14ac:dyDescent="0.3">
      <c r="A244" s="3">
        <v>243</v>
      </c>
      <c r="B244" s="3" t="s">
        <v>272</v>
      </c>
      <c r="C244" s="3" t="s">
        <v>65</v>
      </c>
      <c r="D244" s="3" t="s">
        <v>41</v>
      </c>
      <c r="E244" s="3">
        <v>310</v>
      </c>
      <c r="F244" s="3">
        <v>20</v>
      </c>
      <c r="G244" s="3">
        <v>25</v>
      </c>
      <c r="H244" s="3">
        <v>45</v>
      </c>
      <c r="I244" s="3">
        <v>70</v>
      </c>
      <c r="J244" s="3">
        <v>90</v>
      </c>
      <c r="K244" s="3">
        <v>60</v>
      </c>
      <c r="L244" s="3">
        <v>4</v>
      </c>
      <c r="M244" s="3" t="s">
        <v>453</v>
      </c>
    </row>
    <row r="245" spans="1:13" x14ac:dyDescent="0.3">
      <c r="A245" s="3">
        <v>244</v>
      </c>
      <c r="B245" s="3" t="s">
        <v>273</v>
      </c>
      <c r="C245" s="3" t="s">
        <v>31</v>
      </c>
      <c r="D245" s="3" t="s">
        <v>20</v>
      </c>
      <c r="E245" s="3">
        <v>411</v>
      </c>
      <c r="F245" s="3">
        <v>76</v>
      </c>
      <c r="G245" s="3">
        <v>65</v>
      </c>
      <c r="H245" s="3">
        <v>45</v>
      </c>
      <c r="I245" s="3">
        <v>92</v>
      </c>
      <c r="J245" s="3">
        <v>42</v>
      </c>
      <c r="K245" s="3">
        <v>91</v>
      </c>
      <c r="L245" s="3">
        <v>4</v>
      </c>
      <c r="M245" s="3" t="s">
        <v>453</v>
      </c>
    </row>
    <row r="246" spans="1:13" x14ac:dyDescent="0.3">
      <c r="A246" s="3">
        <v>245</v>
      </c>
      <c r="B246" s="3" t="s">
        <v>274</v>
      </c>
      <c r="C246" s="3" t="s">
        <v>79</v>
      </c>
      <c r="D246" s="3" t="s">
        <v>95</v>
      </c>
      <c r="E246" s="3">
        <v>485</v>
      </c>
      <c r="F246" s="3">
        <v>50</v>
      </c>
      <c r="G246" s="3">
        <v>92</v>
      </c>
      <c r="H246" s="3">
        <v>108</v>
      </c>
      <c r="I246" s="3">
        <v>92</v>
      </c>
      <c r="J246" s="3">
        <v>108</v>
      </c>
      <c r="K246" s="3">
        <v>35</v>
      </c>
      <c r="L246" s="3">
        <v>4</v>
      </c>
      <c r="M246" s="3" t="s">
        <v>453</v>
      </c>
    </row>
    <row r="247" spans="1:13" x14ac:dyDescent="0.3">
      <c r="A247" s="3">
        <v>246</v>
      </c>
      <c r="B247" s="3" t="s">
        <v>275</v>
      </c>
      <c r="C247" s="3" t="s">
        <v>22</v>
      </c>
      <c r="D247" s="3" t="s">
        <v>38</v>
      </c>
      <c r="E247" s="3">
        <v>300</v>
      </c>
      <c r="F247" s="3">
        <v>58</v>
      </c>
      <c r="G247" s="3">
        <v>70</v>
      </c>
      <c r="H247" s="3">
        <v>45</v>
      </c>
      <c r="I247" s="3">
        <v>40</v>
      </c>
      <c r="J247" s="3">
        <v>45</v>
      </c>
      <c r="K247" s="3">
        <v>42</v>
      </c>
      <c r="L247" s="3">
        <v>4</v>
      </c>
      <c r="M247" s="3" t="s">
        <v>453</v>
      </c>
    </row>
    <row r="248" spans="1:13" x14ac:dyDescent="0.3">
      <c r="A248" s="3">
        <v>247</v>
      </c>
      <c r="B248" s="3" t="s">
        <v>276</v>
      </c>
      <c r="C248" s="3" t="s">
        <v>22</v>
      </c>
      <c r="D248" s="3" t="s">
        <v>38</v>
      </c>
      <c r="E248" s="3">
        <v>410</v>
      </c>
      <c r="F248" s="3">
        <v>68</v>
      </c>
      <c r="G248" s="3">
        <v>90</v>
      </c>
      <c r="H248" s="3">
        <v>65</v>
      </c>
      <c r="I248" s="3">
        <v>50</v>
      </c>
      <c r="J248" s="3">
        <v>55</v>
      </c>
      <c r="K248" s="3">
        <v>82</v>
      </c>
      <c r="L248" s="3">
        <v>4</v>
      </c>
      <c r="M248" s="3" t="s">
        <v>453</v>
      </c>
    </row>
    <row r="249" spans="1:13" x14ac:dyDescent="0.3">
      <c r="A249" s="3">
        <v>248</v>
      </c>
      <c r="B249" s="3" t="s">
        <v>277</v>
      </c>
      <c r="C249" s="3" t="s">
        <v>22</v>
      </c>
      <c r="D249" s="3" t="s">
        <v>38</v>
      </c>
      <c r="E249" s="3">
        <v>600</v>
      </c>
      <c r="F249" s="3">
        <v>108</v>
      </c>
      <c r="G249" s="3">
        <v>130</v>
      </c>
      <c r="H249" s="3">
        <v>95</v>
      </c>
      <c r="I249" s="3">
        <v>80</v>
      </c>
      <c r="J249" s="3">
        <v>85</v>
      </c>
      <c r="K249" s="3">
        <v>102</v>
      </c>
      <c r="L249" s="3">
        <v>4</v>
      </c>
      <c r="M249" s="3" t="s">
        <v>453</v>
      </c>
    </row>
    <row r="250" spans="1:13" x14ac:dyDescent="0.3">
      <c r="A250" s="3">
        <v>249</v>
      </c>
      <c r="B250" s="3" t="s">
        <v>278</v>
      </c>
      <c r="C250" s="3" t="s">
        <v>22</v>
      </c>
      <c r="D250" s="3" t="s">
        <v>38</v>
      </c>
      <c r="E250" s="3">
        <v>700</v>
      </c>
      <c r="F250" s="3">
        <v>108</v>
      </c>
      <c r="G250" s="3">
        <v>170</v>
      </c>
      <c r="H250" s="3">
        <v>115</v>
      </c>
      <c r="I250" s="3">
        <v>120</v>
      </c>
      <c r="J250" s="3">
        <v>95</v>
      </c>
      <c r="K250" s="3">
        <v>92</v>
      </c>
      <c r="L250" s="3">
        <v>4</v>
      </c>
      <c r="M250" s="3" t="s">
        <v>453</v>
      </c>
    </row>
    <row r="251" spans="1:13" x14ac:dyDescent="0.3">
      <c r="A251" s="3">
        <v>250</v>
      </c>
      <c r="B251" s="3" t="s">
        <v>279</v>
      </c>
      <c r="C251" s="3" t="s">
        <v>54</v>
      </c>
      <c r="D251" s="3" t="s">
        <v>70</v>
      </c>
      <c r="E251" s="3">
        <v>525</v>
      </c>
      <c r="F251" s="3">
        <v>70</v>
      </c>
      <c r="G251" s="3">
        <v>110</v>
      </c>
      <c r="H251" s="3">
        <v>70</v>
      </c>
      <c r="I251" s="3">
        <v>115</v>
      </c>
      <c r="J251" s="3">
        <v>70</v>
      </c>
      <c r="K251" s="3">
        <v>90</v>
      </c>
      <c r="L251" s="3">
        <v>4</v>
      </c>
      <c r="M251" s="3" t="s">
        <v>453</v>
      </c>
    </row>
    <row r="252" spans="1:13" x14ac:dyDescent="0.3">
      <c r="A252" s="3">
        <v>251</v>
      </c>
      <c r="B252" s="3" t="s">
        <v>280</v>
      </c>
      <c r="C252" s="3" t="s">
        <v>54</v>
      </c>
      <c r="D252" s="3" t="s">
        <v>70</v>
      </c>
      <c r="E252" s="3">
        <v>625</v>
      </c>
      <c r="F252" s="3">
        <v>70</v>
      </c>
      <c r="G252" s="3">
        <v>145</v>
      </c>
      <c r="H252" s="3">
        <v>88</v>
      </c>
      <c r="I252" s="3">
        <v>140</v>
      </c>
      <c r="J252" s="3">
        <v>70</v>
      </c>
      <c r="K252" s="3">
        <v>112</v>
      </c>
      <c r="L252" s="3">
        <v>4</v>
      </c>
      <c r="M252" s="3" t="s">
        <v>453</v>
      </c>
    </row>
    <row r="253" spans="1:13" x14ac:dyDescent="0.3">
      <c r="A253" s="3">
        <v>252</v>
      </c>
      <c r="B253" s="3" t="s">
        <v>281</v>
      </c>
      <c r="C253" s="3" t="s">
        <v>14</v>
      </c>
      <c r="D253" s="3" t="s">
        <v>25</v>
      </c>
      <c r="E253" s="3">
        <v>330</v>
      </c>
      <c r="F253" s="3">
        <v>40</v>
      </c>
      <c r="G253" s="3">
        <v>50</v>
      </c>
      <c r="H253" s="3">
        <v>90</v>
      </c>
      <c r="I253" s="3">
        <v>30</v>
      </c>
      <c r="J253" s="3">
        <v>55</v>
      </c>
      <c r="K253" s="3">
        <v>65</v>
      </c>
      <c r="L253" s="3">
        <v>4</v>
      </c>
      <c r="M253" s="3" t="s">
        <v>453</v>
      </c>
    </row>
    <row r="254" spans="1:13" x14ac:dyDescent="0.3">
      <c r="A254" s="3">
        <v>253</v>
      </c>
      <c r="B254" s="3" t="s">
        <v>282</v>
      </c>
      <c r="C254" s="3" t="s">
        <v>14</v>
      </c>
      <c r="D254" s="3" t="s">
        <v>95</v>
      </c>
      <c r="E254" s="3">
        <v>500</v>
      </c>
      <c r="F254" s="3">
        <v>70</v>
      </c>
      <c r="G254" s="3">
        <v>90</v>
      </c>
      <c r="H254" s="3">
        <v>110</v>
      </c>
      <c r="I254" s="3">
        <v>60</v>
      </c>
      <c r="J254" s="3">
        <v>75</v>
      </c>
      <c r="K254" s="3">
        <v>95</v>
      </c>
      <c r="L254" s="3">
        <v>4</v>
      </c>
      <c r="M254" s="3" t="s">
        <v>453</v>
      </c>
    </row>
    <row r="255" spans="1:13" x14ac:dyDescent="0.3">
      <c r="A255" s="3">
        <v>254</v>
      </c>
      <c r="B255" s="3" t="s">
        <v>283</v>
      </c>
      <c r="C255" s="3" t="s">
        <v>14</v>
      </c>
      <c r="D255" s="3" t="s">
        <v>54</v>
      </c>
      <c r="E255" s="3">
        <v>300</v>
      </c>
      <c r="F255" s="3">
        <v>48</v>
      </c>
      <c r="G255" s="3">
        <v>61</v>
      </c>
      <c r="H255" s="3">
        <v>40</v>
      </c>
      <c r="I255" s="3">
        <v>61</v>
      </c>
      <c r="J255" s="3">
        <v>40</v>
      </c>
      <c r="K255" s="3">
        <v>50</v>
      </c>
      <c r="L255" s="3">
        <v>4</v>
      </c>
      <c r="M255" s="3" t="s">
        <v>453</v>
      </c>
    </row>
    <row r="256" spans="1:13" x14ac:dyDescent="0.3">
      <c r="A256" s="3">
        <v>255</v>
      </c>
      <c r="B256" s="3" t="s">
        <v>284</v>
      </c>
      <c r="C256" s="3" t="s">
        <v>14</v>
      </c>
      <c r="D256" s="3" t="s">
        <v>54</v>
      </c>
      <c r="E256" s="3">
        <v>490</v>
      </c>
      <c r="F256" s="3">
        <v>83</v>
      </c>
      <c r="G256" s="3">
        <v>106</v>
      </c>
      <c r="H256" s="3">
        <v>65</v>
      </c>
      <c r="I256" s="3">
        <v>86</v>
      </c>
      <c r="J256" s="3">
        <v>65</v>
      </c>
      <c r="K256" s="3">
        <v>85</v>
      </c>
      <c r="L256" s="3">
        <v>4</v>
      </c>
      <c r="M256" s="3" t="s">
        <v>453</v>
      </c>
    </row>
    <row r="257" spans="1:13" x14ac:dyDescent="0.3">
      <c r="A257" s="3">
        <v>256</v>
      </c>
      <c r="B257" s="3" t="s">
        <v>285</v>
      </c>
      <c r="C257" s="3" t="s">
        <v>53</v>
      </c>
      <c r="D257" s="3" t="s">
        <v>20</v>
      </c>
      <c r="E257" s="3">
        <v>345</v>
      </c>
      <c r="F257" s="3">
        <v>45</v>
      </c>
      <c r="G257" s="3">
        <v>20</v>
      </c>
      <c r="H257" s="3">
        <v>50</v>
      </c>
      <c r="I257" s="3">
        <v>60</v>
      </c>
      <c r="J257" s="3">
        <v>120</v>
      </c>
      <c r="K257" s="3">
        <v>50</v>
      </c>
      <c r="L257" s="3">
        <v>4</v>
      </c>
      <c r="M257" s="3" t="s">
        <v>453</v>
      </c>
    </row>
    <row r="258" spans="1:13" x14ac:dyDescent="0.3">
      <c r="A258" s="3">
        <v>257</v>
      </c>
      <c r="B258" s="3" t="s">
        <v>286</v>
      </c>
      <c r="C258" s="3" t="s">
        <v>13</v>
      </c>
      <c r="D258" s="3" t="s">
        <v>76</v>
      </c>
      <c r="E258" s="3">
        <v>334</v>
      </c>
      <c r="F258" s="3">
        <v>60</v>
      </c>
      <c r="G258" s="3">
        <v>62</v>
      </c>
      <c r="H258" s="3">
        <v>50</v>
      </c>
      <c r="I258" s="3">
        <v>62</v>
      </c>
      <c r="J258" s="3">
        <v>60</v>
      </c>
      <c r="K258" s="3">
        <v>40</v>
      </c>
      <c r="L258" s="3">
        <v>4</v>
      </c>
      <c r="M258" s="3" t="s">
        <v>453</v>
      </c>
    </row>
    <row r="259" spans="1:13" x14ac:dyDescent="0.3">
      <c r="A259" s="3">
        <v>258</v>
      </c>
      <c r="B259" s="3" t="s">
        <v>287</v>
      </c>
      <c r="C259" s="3" t="s">
        <v>13</v>
      </c>
      <c r="D259" s="3" t="s">
        <v>76</v>
      </c>
      <c r="E259" s="3">
        <v>494</v>
      </c>
      <c r="F259" s="3">
        <v>90</v>
      </c>
      <c r="G259" s="3">
        <v>92</v>
      </c>
      <c r="H259" s="3">
        <v>75</v>
      </c>
      <c r="I259" s="3">
        <v>92</v>
      </c>
      <c r="J259" s="3">
        <v>85</v>
      </c>
      <c r="K259" s="3">
        <v>60</v>
      </c>
      <c r="L259" s="3">
        <v>4</v>
      </c>
      <c r="M259" s="3" t="s">
        <v>453</v>
      </c>
    </row>
    <row r="260" spans="1:13" x14ac:dyDescent="0.3">
      <c r="A260" s="3">
        <v>259</v>
      </c>
      <c r="B260" s="3" t="s">
        <v>288</v>
      </c>
      <c r="C260" s="3" t="s">
        <v>13</v>
      </c>
      <c r="D260" s="3" t="s">
        <v>76</v>
      </c>
      <c r="E260" s="3">
        <v>594</v>
      </c>
      <c r="F260" s="3">
        <v>90</v>
      </c>
      <c r="G260" s="3">
        <v>132</v>
      </c>
      <c r="H260" s="3">
        <v>105</v>
      </c>
      <c r="I260" s="3">
        <v>132</v>
      </c>
      <c r="J260" s="3">
        <v>105</v>
      </c>
      <c r="K260" s="3">
        <v>30</v>
      </c>
      <c r="L260" s="3">
        <v>4</v>
      </c>
      <c r="M260" s="3" t="s">
        <v>453</v>
      </c>
    </row>
    <row r="261" spans="1:13" x14ac:dyDescent="0.3">
      <c r="A261" s="3">
        <v>260</v>
      </c>
      <c r="B261" s="3" t="s">
        <v>289</v>
      </c>
      <c r="C261" s="3" t="s">
        <v>95</v>
      </c>
      <c r="D261" s="3" t="s">
        <v>76</v>
      </c>
      <c r="E261" s="3">
        <v>510</v>
      </c>
      <c r="F261" s="3">
        <v>70</v>
      </c>
      <c r="G261" s="3">
        <v>120</v>
      </c>
      <c r="H261" s="3">
        <v>65</v>
      </c>
      <c r="I261" s="3">
        <v>45</v>
      </c>
      <c r="J261" s="3">
        <v>85</v>
      </c>
      <c r="K261" s="3">
        <v>125</v>
      </c>
      <c r="L261" s="3">
        <v>4</v>
      </c>
      <c r="M261" s="3" t="s">
        <v>453</v>
      </c>
    </row>
    <row r="262" spans="1:13" x14ac:dyDescent="0.3">
      <c r="A262" s="3">
        <v>261</v>
      </c>
      <c r="B262" s="3" t="s">
        <v>290</v>
      </c>
      <c r="C262" s="3" t="s">
        <v>69</v>
      </c>
      <c r="D262" s="3" t="s">
        <v>70</v>
      </c>
      <c r="E262" s="3">
        <v>535</v>
      </c>
      <c r="F262" s="3">
        <v>70</v>
      </c>
      <c r="G262" s="3">
        <v>70</v>
      </c>
      <c r="H262" s="3">
        <v>115</v>
      </c>
      <c r="I262" s="3">
        <v>130</v>
      </c>
      <c r="J262" s="3">
        <v>90</v>
      </c>
      <c r="K262" s="3">
        <v>60</v>
      </c>
      <c r="L262" s="3">
        <v>4</v>
      </c>
      <c r="M262" s="3" t="s">
        <v>453</v>
      </c>
    </row>
    <row r="263" spans="1:13" x14ac:dyDescent="0.3">
      <c r="A263" s="3">
        <v>262</v>
      </c>
      <c r="B263" s="3" t="s">
        <v>291</v>
      </c>
      <c r="C263" s="3" t="s">
        <v>38</v>
      </c>
      <c r="D263" s="3" t="s">
        <v>61</v>
      </c>
      <c r="E263" s="3">
        <v>535</v>
      </c>
      <c r="F263" s="3">
        <v>115</v>
      </c>
      <c r="G263" s="3">
        <v>140</v>
      </c>
      <c r="H263" s="3">
        <v>130</v>
      </c>
      <c r="I263" s="3">
        <v>55</v>
      </c>
      <c r="J263" s="3">
        <v>55</v>
      </c>
      <c r="K263" s="3">
        <v>40</v>
      </c>
      <c r="L263" s="3">
        <v>4</v>
      </c>
      <c r="M263" s="3" t="s">
        <v>453</v>
      </c>
    </row>
    <row r="264" spans="1:13" x14ac:dyDescent="0.3">
      <c r="A264" s="3">
        <v>263</v>
      </c>
      <c r="B264" s="3" t="s">
        <v>292</v>
      </c>
      <c r="C264" s="3" t="s">
        <v>41</v>
      </c>
      <c r="D264" s="3" t="s">
        <v>20</v>
      </c>
      <c r="E264" s="3">
        <v>545</v>
      </c>
      <c r="F264" s="3">
        <v>85</v>
      </c>
      <c r="G264" s="3">
        <v>50</v>
      </c>
      <c r="H264" s="3">
        <v>95</v>
      </c>
      <c r="I264" s="3">
        <v>120</v>
      </c>
      <c r="J264" s="3">
        <v>115</v>
      </c>
      <c r="K264" s="3">
        <v>80</v>
      </c>
      <c r="L264" s="3">
        <v>4</v>
      </c>
      <c r="M264" s="3" t="s">
        <v>453</v>
      </c>
    </row>
    <row r="265" spans="1:13" x14ac:dyDescent="0.3">
      <c r="A265" s="3">
        <v>264</v>
      </c>
      <c r="B265" s="3" t="s">
        <v>293</v>
      </c>
      <c r="C265" s="3" t="s">
        <v>25</v>
      </c>
      <c r="D265" s="3" t="s">
        <v>20</v>
      </c>
      <c r="E265" s="3">
        <v>515</v>
      </c>
      <c r="F265" s="3">
        <v>86</v>
      </c>
      <c r="G265" s="3">
        <v>76</v>
      </c>
      <c r="H265" s="3">
        <v>86</v>
      </c>
      <c r="I265" s="3">
        <v>116</v>
      </c>
      <c r="J265" s="3">
        <v>56</v>
      </c>
      <c r="K265" s="3">
        <v>95</v>
      </c>
      <c r="L265" s="3">
        <v>4</v>
      </c>
      <c r="M265" s="3" t="s">
        <v>453</v>
      </c>
    </row>
    <row r="266" spans="1:13" x14ac:dyDescent="0.3">
      <c r="A266" s="3">
        <v>265</v>
      </c>
      <c r="B266" s="3" t="s">
        <v>294</v>
      </c>
      <c r="C266" s="3" t="s">
        <v>38</v>
      </c>
      <c r="D266" s="3" t="s">
        <v>20</v>
      </c>
      <c r="E266" s="3">
        <v>510</v>
      </c>
      <c r="F266" s="3">
        <v>75</v>
      </c>
      <c r="G266" s="3">
        <v>95</v>
      </c>
      <c r="H266" s="3">
        <v>125</v>
      </c>
      <c r="I266" s="3">
        <v>45</v>
      </c>
      <c r="J266" s="3">
        <v>75</v>
      </c>
      <c r="K266" s="3">
        <v>95</v>
      </c>
      <c r="L266" s="3">
        <v>4</v>
      </c>
      <c r="M266" s="3" t="s">
        <v>453</v>
      </c>
    </row>
    <row r="267" spans="1:13" x14ac:dyDescent="0.3">
      <c r="A267" s="3">
        <v>266</v>
      </c>
      <c r="B267" s="3" t="s">
        <v>295</v>
      </c>
      <c r="C267" s="3" t="s">
        <v>76</v>
      </c>
      <c r="D267" s="3" t="s">
        <v>38</v>
      </c>
      <c r="E267" s="3">
        <v>530</v>
      </c>
      <c r="F267" s="3">
        <v>110</v>
      </c>
      <c r="G267" s="3">
        <v>130</v>
      </c>
      <c r="H267" s="3">
        <v>80</v>
      </c>
      <c r="I267" s="3">
        <v>70</v>
      </c>
      <c r="J267" s="3">
        <v>60</v>
      </c>
      <c r="K267" s="3">
        <v>80</v>
      </c>
      <c r="L267" s="3">
        <v>4</v>
      </c>
      <c r="M267" s="3" t="s">
        <v>453</v>
      </c>
    </row>
    <row r="268" spans="1:13" x14ac:dyDescent="0.3">
      <c r="A268" s="3">
        <v>267</v>
      </c>
      <c r="B268" s="3" t="s">
        <v>296</v>
      </c>
      <c r="C268" s="3" t="s">
        <v>65</v>
      </c>
      <c r="D268" s="3" t="s">
        <v>54</v>
      </c>
      <c r="E268" s="3">
        <v>518</v>
      </c>
      <c r="F268" s="3">
        <v>68</v>
      </c>
      <c r="G268" s="3">
        <v>125</v>
      </c>
      <c r="H268" s="3">
        <v>65</v>
      </c>
      <c r="I268" s="3">
        <v>65</v>
      </c>
      <c r="J268" s="3">
        <v>115</v>
      </c>
      <c r="K268" s="3">
        <v>80</v>
      </c>
      <c r="L268" s="3">
        <v>4</v>
      </c>
      <c r="M268" s="3" t="s">
        <v>453</v>
      </c>
    </row>
    <row r="269" spans="1:13" x14ac:dyDescent="0.3">
      <c r="A269" s="3">
        <v>268</v>
      </c>
      <c r="B269" s="3" t="s">
        <v>297</v>
      </c>
      <c r="C269" s="3" t="s">
        <v>65</v>
      </c>
      <c r="D269" s="3" t="s">
        <v>54</v>
      </c>
      <c r="E269" s="3">
        <v>618</v>
      </c>
      <c r="F269" s="3">
        <v>68</v>
      </c>
      <c r="G269" s="3">
        <v>165</v>
      </c>
      <c r="H269" s="3">
        <v>95</v>
      </c>
      <c r="I269" s="3">
        <v>65</v>
      </c>
      <c r="J269" s="3">
        <v>115</v>
      </c>
      <c r="K269" s="3">
        <v>110</v>
      </c>
      <c r="L269" s="3">
        <v>4</v>
      </c>
      <c r="M269" s="3" t="s">
        <v>453</v>
      </c>
    </row>
    <row r="270" spans="1:13" x14ac:dyDescent="0.3">
      <c r="A270" s="3">
        <v>269</v>
      </c>
      <c r="B270" s="3" t="s">
        <v>298</v>
      </c>
      <c r="C270" s="3" t="s">
        <v>61</v>
      </c>
      <c r="D270" s="3" t="s">
        <v>70</v>
      </c>
      <c r="E270" s="3">
        <v>525</v>
      </c>
      <c r="F270" s="3">
        <v>60</v>
      </c>
      <c r="G270" s="3">
        <v>55</v>
      </c>
      <c r="H270" s="3">
        <v>145</v>
      </c>
      <c r="I270" s="3">
        <v>75</v>
      </c>
      <c r="J270" s="3">
        <v>150</v>
      </c>
      <c r="K270" s="3">
        <v>40</v>
      </c>
      <c r="L270" s="3">
        <v>4</v>
      </c>
      <c r="M270" s="3" t="s">
        <v>453</v>
      </c>
    </row>
    <row r="271" spans="1:13" x14ac:dyDescent="0.3">
      <c r="A271" s="3">
        <v>270</v>
      </c>
      <c r="B271" s="3" t="s">
        <v>299</v>
      </c>
      <c r="C271" s="3" t="s">
        <v>76</v>
      </c>
      <c r="D271" s="3" t="s">
        <v>79</v>
      </c>
      <c r="E271" s="3">
        <v>480</v>
      </c>
      <c r="F271" s="3">
        <v>70</v>
      </c>
      <c r="G271" s="3">
        <v>80</v>
      </c>
      <c r="H271" s="3">
        <v>70</v>
      </c>
      <c r="I271" s="3">
        <v>80</v>
      </c>
      <c r="J271" s="3">
        <v>70</v>
      </c>
      <c r="K271" s="3">
        <v>110</v>
      </c>
      <c r="L271" s="3">
        <v>4</v>
      </c>
      <c r="M271" s="3" t="s">
        <v>453</v>
      </c>
    </row>
    <row r="272" spans="1:13" x14ac:dyDescent="0.3">
      <c r="A272" s="3">
        <v>271</v>
      </c>
      <c r="B272" s="3" t="s">
        <v>300</v>
      </c>
      <c r="C272" s="3" t="s">
        <v>69</v>
      </c>
      <c r="D272" s="3" t="s">
        <v>79</v>
      </c>
      <c r="E272" s="3">
        <v>440</v>
      </c>
      <c r="F272" s="3">
        <v>50</v>
      </c>
      <c r="G272" s="3">
        <v>50</v>
      </c>
      <c r="H272" s="3">
        <v>77</v>
      </c>
      <c r="I272" s="3">
        <v>95</v>
      </c>
      <c r="J272" s="3">
        <v>77</v>
      </c>
      <c r="K272" s="3">
        <v>91</v>
      </c>
      <c r="L272" s="3">
        <v>4</v>
      </c>
      <c r="M272" s="3" t="s">
        <v>453</v>
      </c>
    </row>
    <row r="273" spans="1:13" x14ac:dyDescent="0.3">
      <c r="A273" s="3">
        <v>272</v>
      </c>
      <c r="B273" s="3" t="s">
        <v>301</v>
      </c>
      <c r="C273" s="3" t="s">
        <v>69</v>
      </c>
      <c r="D273" s="3" t="s">
        <v>19</v>
      </c>
      <c r="E273" s="3">
        <v>520</v>
      </c>
      <c r="F273" s="3">
        <v>50</v>
      </c>
      <c r="G273" s="3">
        <v>65</v>
      </c>
      <c r="H273" s="3">
        <v>107</v>
      </c>
      <c r="I273" s="3">
        <v>105</v>
      </c>
      <c r="J273" s="3">
        <v>107</v>
      </c>
      <c r="K273" s="3">
        <v>86</v>
      </c>
      <c r="L273" s="3">
        <v>4</v>
      </c>
      <c r="M273" s="3" t="s">
        <v>453</v>
      </c>
    </row>
    <row r="274" spans="1:13" x14ac:dyDescent="0.3">
      <c r="A274" s="3">
        <v>273</v>
      </c>
      <c r="B274" s="3" t="s">
        <v>302</v>
      </c>
      <c r="C274" s="3" t="s">
        <v>69</v>
      </c>
      <c r="D274" s="3" t="s">
        <v>53</v>
      </c>
      <c r="E274" s="3">
        <v>520</v>
      </c>
      <c r="F274" s="3">
        <v>50</v>
      </c>
      <c r="G274" s="3">
        <v>65</v>
      </c>
      <c r="H274" s="3">
        <v>107</v>
      </c>
      <c r="I274" s="3">
        <v>105</v>
      </c>
      <c r="J274" s="3">
        <v>107</v>
      </c>
      <c r="K274" s="3">
        <v>86</v>
      </c>
      <c r="L274" s="3">
        <v>4</v>
      </c>
      <c r="M274" s="3" t="s">
        <v>453</v>
      </c>
    </row>
    <row r="275" spans="1:13" x14ac:dyDescent="0.3">
      <c r="A275" s="3">
        <v>274</v>
      </c>
      <c r="B275" s="3" t="s">
        <v>303</v>
      </c>
      <c r="C275" s="3" t="s">
        <v>69</v>
      </c>
      <c r="D275" s="3" t="s">
        <v>76</v>
      </c>
      <c r="E275" s="3">
        <v>520</v>
      </c>
      <c r="F275" s="3">
        <v>50</v>
      </c>
      <c r="G275" s="3">
        <v>65</v>
      </c>
      <c r="H275" s="3">
        <v>107</v>
      </c>
      <c r="I275" s="3">
        <v>105</v>
      </c>
      <c r="J275" s="3">
        <v>107</v>
      </c>
      <c r="K275" s="3">
        <v>86</v>
      </c>
      <c r="L275" s="3">
        <v>4</v>
      </c>
      <c r="M275" s="3" t="s">
        <v>453</v>
      </c>
    </row>
    <row r="276" spans="1:13" x14ac:dyDescent="0.3">
      <c r="A276" s="3">
        <v>275</v>
      </c>
      <c r="B276" s="3" t="s">
        <v>304</v>
      </c>
      <c r="C276" s="3" t="s">
        <v>69</v>
      </c>
      <c r="D276" s="3" t="s">
        <v>20</v>
      </c>
      <c r="E276" s="3">
        <v>520</v>
      </c>
      <c r="F276" s="3">
        <v>50</v>
      </c>
      <c r="G276" s="3">
        <v>65</v>
      </c>
      <c r="H276" s="3">
        <v>107</v>
      </c>
      <c r="I276" s="3">
        <v>105</v>
      </c>
      <c r="J276" s="3">
        <v>107</v>
      </c>
      <c r="K276" s="3">
        <v>86</v>
      </c>
      <c r="L276" s="3">
        <v>4</v>
      </c>
      <c r="M276" s="3" t="s">
        <v>453</v>
      </c>
    </row>
    <row r="277" spans="1:13" x14ac:dyDescent="0.3">
      <c r="A277" s="3">
        <v>276</v>
      </c>
      <c r="B277" s="3" t="s">
        <v>305</v>
      </c>
      <c r="C277" s="3" t="s">
        <v>69</v>
      </c>
      <c r="D277" s="3" t="s">
        <v>13</v>
      </c>
      <c r="E277" s="3">
        <v>520</v>
      </c>
      <c r="F277" s="3">
        <v>50</v>
      </c>
      <c r="G277" s="3">
        <v>65</v>
      </c>
      <c r="H277" s="3">
        <v>107</v>
      </c>
      <c r="I277" s="3">
        <v>105</v>
      </c>
      <c r="J277" s="3">
        <v>107</v>
      </c>
      <c r="K277" s="3">
        <v>86</v>
      </c>
      <c r="L277" s="3">
        <v>4</v>
      </c>
      <c r="M277" s="3" t="s">
        <v>453</v>
      </c>
    </row>
    <row r="278" spans="1:13" x14ac:dyDescent="0.3">
      <c r="A278" s="3">
        <v>277</v>
      </c>
      <c r="B278" s="3" t="s">
        <v>306</v>
      </c>
      <c r="C278" s="3" t="s">
        <v>70</v>
      </c>
      <c r="D278" s="3" t="s">
        <v>22</v>
      </c>
      <c r="E278" s="3">
        <v>680</v>
      </c>
      <c r="F278" s="3">
        <v>100</v>
      </c>
      <c r="G278" s="3">
        <v>120</v>
      </c>
      <c r="H278" s="3">
        <v>120</v>
      </c>
      <c r="I278" s="3">
        <v>150</v>
      </c>
      <c r="J278" s="3">
        <v>100</v>
      </c>
      <c r="K278" s="3">
        <v>90</v>
      </c>
      <c r="L278" s="3">
        <v>4</v>
      </c>
      <c r="M278" s="3" t="s">
        <v>451</v>
      </c>
    </row>
    <row r="279" spans="1:13" x14ac:dyDescent="0.3">
      <c r="A279" s="3">
        <v>278</v>
      </c>
      <c r="B279" s="3" t="s">
        <v>307</v>
      </c>
      <c r="C279" s="3" t="s">
        <v>53</v>
      </c>
      <c r="D279" s="3" t="s">
        <v>22</v>
      </c>
      <c r="E279" s="3">
        <v>680</v>
      </c>
      <c r="F279" s="3">
        <v>90</v>
      </c>
      <c r="G279" s="3">
        <v>120</v>
      </c>
      <c r="H279" s="3">
        <v>100</v>
      </c>
      <c r="I279" s="3">
        <v>150</v>
      </c>
      <c r="J279" s="3">
        <v>120</v>
      </c>
      <c r="K279" s="3">
        <v>100</v>
      </c>
      <c r="L279" s="3">
        <v>4</v>
      </c>
      <c r="M279" s="3" t="s">
        <v>451</v>
      </c>
    </row>
    <row r="280" spans="1:13" x14ac:dyDescent="0.3">
      <c r="A280" s="3">
        <v>279</v>
      </c>
      <c r="B280" s="3" t="s">
        <v>308</v>
      </c>
      <c r="C280" s="3" t="s">
        <v>19</v>
      </c>
      <c r="D280" s="3" t="s">
        <v>70</v>
      </c>
      <c r="E280" s="3">
        <v>600</v>
      </c>
      <c r="F280" s="3">
        <v>91</v>
      </c>
      <c r="G280" s="3">
        <v>90</v>
      </c>
      <c r="H280" s="3">
        <v>106</v>
      </c>
      <c r="I280" s="3">
        <v>130</v>
      </c>
      <c r="J280" s="3">
        <v>106</v>
      </c>
      <c r="K280" s="3">
        <v>77</v>
      </c>
      <c r="L280" s="3">
        <v>4</v>
      </c>
      <c r="M280" s="3" t="s">
        <v>451</v>
      </c>
    </row>
    <row r="281" spans="1:13" x14ac:dyDescent="0.3">
      <c r="A281" s="3">
        <v>280</v>
      </c>
      <c r="B281" s="3" t="s">
        <v>309</v>
      </c>
      <c r="C281" s="3" t="s">
        <v>79</v>
      </c>
      <c r="D281" s="3" t="s">
        <v>22</v>
      </c>
      <c r="E281" s="3">
        <v>680</v>
      </c>
      <c r="F281" s="3">
        <v>150</v>
      </c>
      <c r="G281" s="3">
        <v>100</v>
      </c>
      <c r="H281" s="3">
        <v>120</v>
      </c>
      <c r="I281" s="3">
        <v>100</v>
      </c>
      <c r="J281" s="3">
        <v>120</v>
      </c>
      <c r="K281" s="3">
        <v>90</v>
      </c>
      <c r="L281" s="3">
        <v>4</v>
      </c>
      <c r="M281" s="3" t="s">
        <v>451</v>
      </c>
    </row>
    <row r="282" spans="1:13" x14ac:dyDescent="0.3">
      <c r="A282" s="3">
        <v>281</v>
      </c>
      <c r="B282" s="3" t="s">
        <v>310</v>
      </c>
      <c r="C282" s="3" t="s">
        <v>79</v>
      </c>
      <c r="D282" s="3" t="s">
        <v>22</v>
      </c>
      <c r="E282" s="3">
        <v>680</v>
      </c>
      <c r="F282" s="3">
        <v>150</v>
      </c>
      <c r="G282" s="3">
        <v>120</v>
      </c>
      <c r="H282" s="3">
        <v>100</v>
      </c>
      <c r="I282" s="3">
        <v>120</v>
      </c>
      <c r="J282" s="3">
        <v>100</v>
      </c>
      <c r="K282" s="3">
        <v>90</v>
      </c>
      <c r="L282" s="3">
        <v>4</v>
      </c>
      <c r="M282" s="3" t="s">
        <v>451</v>
      </c>
    </row>
    <row r="283" spans="1:13" x14ac:dyDescent="0.3">
      <c r="A283" s="3">
        <v>282</v>
      </c>
      <c r="B283" s="3" t="s">
        <v>311</v>
      </c>
      <c r="C283" s="3" t="s">
        <v>13</v>
      </c>
      <c r="D283" s="3" t="s">
        <v>20</v>
      </c>
      <c r="E283" s="3">
        <v>600</v>
      </c>
      <c r="F283" s="3">
        <v>100</v>
      </c>
      <c r="G283" s="3">
        <v>103</v>
      </c>
      <c r="H283" s="3">
        <v>75</v>
      </c>
      <c r="I283" s="3">
        <v>120</v>
      </c>
      <c r="J283" s="3">
        <v>75</v>
      </c>
      <c r="K283" s="3">
        <v>127</v>
      </c>
      <c r="L283" s="3">
        <v>4</v>
      </c>
      <c r="M283" s="3" t="s">
        <v>451</v>
      </c>
    </row>
    <row r="284" spans="1:13" x14ac:dyDescent="0.3">
      <c r="A284" s="3">
        <v>283</v>
      </c>
      <c r="B284" s="3" t="s">
        <v>312</v>
      </c>
      <c r="C284" s="3" t="s">
        <v>65</v>
      </c>
      <c r="D284" s="3" t="s">
        <v>19</v>
      </c>
      <c r="E284" s="3">
        <v>600</v>
      </c>
      <c r="F284" s="3">
        <v>100</v>
      </c>
      <c r="G284" s="3">
        <v>100</v>
      </c>
      <c r="H284" s="3">
        <v>100</v>
      </c>
      <c r="I284" s="3">
        <v>100</v>
      </c>
      <c r="J284" s="3">
        <v>100</v>
      </c>
      <c r="K284" s="3">
        <v>100</v>
      </c>
      <c r="L284" s="3">
        <v>5</v>
      </c>
      <c r="M284" s="3" t="s">
        <v>451</v>
      </c>
    </row>
    <row r="285" spans="1:13" x14ac:dyDescent="0.3">
      <c r="A285" s="3">
        <v>284</v>
      </c>
      <c r="B285" s="3" t="s">
        <v>313</v>
      </c>
      <c r="C285" s="3" t="s">
        <v>19</v>
      </c>
      <c r="D285" s="3" t="s">
        <v>54</v>
      </c>
      <c r="E285" s="3">
        <v>418</v>
      </c>
      <c r="F285" s="3">
        <v>90</v>
      </c>
      <c r="G285" s="3">
        <v>93</v>
      </c>
      <c r="H285" s="3">
        <v>55</v>
      </c>
      <c r="I285" s="3">
        <v>70</v>
      </c>
      <c r="J285" s="3">
        <v>55</v>
      </c>
      <c r="K285" s="3">
        <v>55</v>
      </c>
      <c r="L285" s="3">
        <v>5</v>
      </c>
      <c r="M285" s="3" t="s">
        <v>453</v>
      </c>
    </row>
    <row r="286" spans="1:13" x14ac:dyDescent="0.3">
      <c r="A286" s="3">
        <v>285</v>
      </c>
      <c r="B286" s="3" t="s">
        <v>314</v>
      </c>
      <c r="C286" s="3" t="s">
        <v>19</v>
      </c>
      <c r="D286" s="3" t="s">
        <v>54</v>
      </c>
      <c r="E286" s="3">
        <v>528</v>
      </c>
      <c r="F286" s="3">
        <v>110</v>
      </c>
      <c r="G286" s="3">
        <v>123</v>
      </c>
      <c r="H286" s="3">
        <v>65</v>
      </c>
      <c r="I286" s="3">
        <v>100</v>
      </c>
      <c r="J286" s="3">
        <v>65</v>
      </c>
      <c r="K286" s="3">
        <v>65</v>
      </c>
      <c r="L286" s="3">
        <v>5</v>
      </c>
      <c r="M286" s="3" t="s">
        <v>453</v>
      </c>
    </row>
    <row r="287" spans="1:13" x14ac:dyDescent="0.3">
      <c r="A287" s="3">
        <v>286</v>
      </c>
      <c r="B287" s="3" t="s">
        <v>315</v>
      </c>
      <c r="C287" s="3" t="s">
        <v>31</v>
      </c>
      <c r="D287" s="3" t="s">
        <v>20</v>
      </c>
      <c r="E287" s="3">
        <v>264</v>
      </c>
      <c r="F287" s="3">
        <v>50</v>
      </c>
      <c r="G287" s="3">
        <v>55</v>
      </c>
      <c r="H287" s="3">
        <v>50</v>
      </c>
      <c r="I287" s="3">
        <v>36</v>
      </c>
      <c r="J287" s="3">
        <v>30</v>
      </c>
      <c r="K287" s="3">
        <v>43</v>
      </c>
      <c r="L287" s="3">
        <v>5</v>
      </c>
      <c r="M287" s="3" t="s">
        <v>453</v>
      </c>
    </row>
    <row r="288" spans="1:13" x14ac:dyDescent="0.3">
      <c r="A288" s="3">
        <v>287</v>
      </c>
      <c r="B288" s="3" t="s">
        <v>316</v>
      </c>
      <c r="C288" s="3" t="s">
        <v>31</v>
      </c>
      <c r="D288" s="3" t="s">
        <v>20</v>
      </c>
      <c r="E288" s="3">
        <v>358</v>
      </c>
      <c r="F288" s="3">
        <v>62</v>
      </c>
      <c r="G288" s="3">
        <v>77</v>
      </c>
      <c r="H288" s="3">
        <v>62</v>
      </c>
      <c r="I288" s="3">
        <v>50</v>
      </c>
      <c r="J288" s="3">
        <v>42</v>
      </c>
      <c r="K288" s="3">
        <v>65</v>
      </c>
      <c r="L288" s="3">
        <v>5</v>
      </c>
      <c r="M288" s="3" t="s">
        <v>453</v>
      </c>
    </row>
    <row r="289" spans="1:13" x14ac:dyDescent="0.3">
      <c r="A289" s="3">
        <v>288</v>
      </c>
      <c r="B289" s="3" t="s">
        <v>317</v>
      </c>
      <c r="C289" s="3" t="s">
        <v>31</v>
      </c>
      <c r="D289" s="3" t="s">
        <v>20</v>
      </c>
      <c r="E289" s="3">
        <v>488</v>
      </c>
      <c r="F289" s="3">
        <v>80</v>
      </c>
      <c r="G289" s="3">
        <v>115</v>
      </c>
      <c r="H289" s="3">
        <v>80</v>
      </c>
      <c r="I289" s="3">
        <v>65</v>
      </c>
      <c r="J289" s="3">
        <v>55</v>
      </c>
      <c r="K289" s="3">
        <v>93</v>
      </c>
      <c r="L289" s="3">
        <v>5</v>
      </c>
      <c r="M289" s="3" t="s">
        <v>453</v>
      </c>
    </row>
    <row r="290" spans="1:13" x14ac:dyDescent="0.3">
      <c r="A290" s="3">
        <v>289</v>
      </c>
      <c r="B290" s="3" t="s">
        <v>318</v>
      </c>
      <c r="C290" s="3" t="s">
        <v>65</v>
      </c>
      <c r="D290" s="3" t="s">
        <v>20</v>
      </c>
      <c r="E290" s="3">
        <v>313</v>
      </c>
      <c r="F290" s="3">
        <v>55</v>
      </c>
      <c r="G290" s="3">
        <v>45</v>
      </c>
      <c r="H290" s="3">
        <v>43</v>
      </c>
      <c r="I290" s="3">
        <v>55</v>
      </c>
      <c r="J290" s="3">
        <v>43</v>
      </c>
      <c r="K290" s="3">
        <v>72</v>
      </c>
      <c r="L290" s="3">
        <v>5</v>
      </c>
      <c r="M290" s="3" t="s">
        <v>453</v>
      </c>
    </row>
    <row r="291" spans="1:13" x14ac:dyDescent="0.3">
      <c r="A291" s="3">
        <v>290</v>
      </c>
      <c r="B291" s="3" t="s">
        <v>319</v>
      </c>
      <c r="C291" s="3" t="s">
        <v>65</v>
      </c>
      <c r="D291" s="3" t="s">
        <v>20</v>
      </c>
      <c r="E291" s="3">
        <v>425</v>
      </c>
      <c r="F291" s="3">
        <v>67</v>
      </c>
      <c r="G291" s="3">
        <v>57</v>
      </c>
      <c r="H291" s="3">
        <v>55</v>
      </c>
      <c r="I291" s="3">
        <v>77</v>
      </c>
      <c r="J291" s="3">
        <v>55</v>
      </c>
      <c r="K291" s="3">
        <v>114</v>
      </c>
      <c r="L291" s="3">
        <v>5</v>
      </c>
      <c r="M291" s="3" t="s">
        <v>453</v>
      </c>
    </row>
    <row r="292" spans="1:13" x14ac:dyDescent="0.3">
      <c r="A292" s="3">
        <v>291</v>
      </c>
      <c r="B292" s="3" t="s">
        <v>320</v>
      </c>
      <c r="C292" s="3" t="s">
        <v>38</v>
      </c>
      <c r="D292" s="3" t="s">
        <v>70</v>
      </c>
      <c r="E292" s="3">
        <v>508</v>
      </c>
      <c r="F292" s="3">
        <v>110</v>
      </c>
      <c r="G292" s="3">
        <v>135</v>
      </c>
      <c r="H292" s="3">
        <v>60</v>
      </c>
      <c r="I292" s="3">
        <v>50</v>
      </c>
      <c r="J292" s="3">
        <v>65</v>
      </c>
      <c r="K292" s="3">
        <v>88</v>
      </c>
      <c r="L292" s="3">
        <v>5</v>
      </c>
      <c r="M292" s="3" t="s">
        <v>453</v>
      </c>
    </row>
    <row r="293" spans="1:13" x14ac:dyDescent="0.3">
      <c r="A293" s="3">
        <v>292</v>
      </c>
      <c r="B293" s="3" t="s">
        <v>321</v>
      </c>
      <c r="C293" s="3" t="s">
        <v>31</v>
      </c>
      <c r="D293" s="3" t="s">
        <v>41</v>
      </c>
      <c r="E293" s="3">
        <v>545</v>
      </c>
      <c r="F293" s="3">
        <v>103</v>
      </c>
      <c r="G293" s="3">
        <v>60</v>
      </c>
      <c r="H293" s="3">
        <v>126</v>
      </c>
      <c r="I293" s="3">
        <v>80</v>
      </c>
      <c r="J293" s="3">
        <v>126</v>
      </c>
      <c r="K293" s="3">
        <v>50</v>
      </c>
      <c r="L293" s="3">
        <v>5</v>
      </c>
      <c r="M293" s="3" t="s">
        <v>453</v>
      </c>
    </row>
    <row r="294" spans="1:13" x14ac:dyDescent="0.3">
      <c r="A294" s="3">
        <v>293</v>
      </c>
      <c r="B294" s="3" t="s">
        <v>322</v>
      </c>
      <c r="C294" s="3" t="s">
        <v>53</v>
      </c>
      <c r="D294" s="3" t="s">
        <v>38</v>
      </c>
      <c r="E294" s="3">
        <v>384</v>
      </c>
      <c r="F294" s="3">
        <v>75</v>
      </c>
      <c r="G294" s="3">
        <v>65</v>
      </c>
      <c r="H294" s="3">
        <v>55</v>
      </c>
      <c r="I294" s="3">
        <v>65</v>
      </c>
      <c r="J294" s="3">
        <v>55</v>
      </c>
      <c r="K294" s="3">
        <v>69</v>
      </c>
      <c r="L294" s="3">
        <v>5</v>
      </c>
      <c r="M294" s="3" t="s">
        <v>453</v>
      </c>
    </row>
    <row r="295" spans="1:13" x14ac:dyDescent="0.3">
      <c r="A295" s="3">
        <v>294</v>
      </c>
      <c r="B295" s="3" t="s">
        <v>323</v>
      </c>
      <c r="C295" s="3" t="s">
        <v>53</v>
      </c>
      <c r="D295" s="3" t="s">
        <v>38</v>
      </c>
      <c r="E295" s="3">
        <v>509</v>
      </c>
      <c r="F295" s="3">
        <v>105</v>
      </c>
      <c r="G295" s="3">
        <v>95</v>
      </c>
      <c r="H295" s="3">
        <v>75</v>
      </c>
      <c r="I295" s="3">
        <v>85</v>
      </c>
      <c r="J295" s="3">
        <v>75</v>
      </c>
      <c r="K295" s="3">
        <v>74</v>
      </c>
      <c r="L295" s="3">
        <v>5</v>
      </c>
      <c r="M295" s="3" t="s">
        <v>453</v>
      </c>
    </row>
    <row r="296" spans="1:13" x14ac:dyDescent="0.3">
      <c r="A296" s="3">
        <v>295</v>
      </c>
      <c r="B296" s="3" t="s">
        <v>324</v>
      </c>
      <c r="C296" s="3" t="s">
        <v>25</v>
      </c>
      <c r="D296" s="3" t="s">
        <v>13</v>
      </c>
      <c r="E296" s="3">
        <v>310</v>
      </c>
      <c r="F296" s="3">
        <v>45</v>
      </c>
      <c r="G296" s="3">
        <v>53</v>
      </c>
      <c r="H296" s="3">
        <v>70</v>
      </c>
      <c r="I296" s="3">
        <v>40</v>
      </c>
      <c r="J296" s="3">
        <v>60</v>
      </c>
      <c r="K296" s="3">
        <v>42</v>
      </c>
      <c r="L296" s="3">
        <v>5</v>
      </c>
      <c r="M296" s="3" t="s">
        <v>453</v>
      </c>
    </row>
    <row r="297" spans="1:13" x14ac:dyDescent="0.3">
      <c r="A297" s="3">
        <v>296</v>
      </c>
      <c r="B297" s="3" t="s">
        <v>325</v>
      </c>
      <c r="C297" s="3" t="s">
        <v>25</v>
      </c>
      <c r="D297" s="3" t="s">
        <v>13</v>
      </c>
      <c r="E297" s="3">
        <v>380</v>
      </c>
      <c r="F297" s="3">
        <v>55</v>
      </c>
      <c r="G297" s="3">
        <v>63</v>
      </c>
      <c r="H297" s="3">
        <v>90</v>
      </c>
      <c r="I297" s="3">
        <v>50</v>
      </c>
      <c r="J297" s="3">
        <v>80</v>
      </c>
      <c r="K297" s="3">
        <v>42</v>
      </c>
      <c r="L297" s="3">
        <v>5</v>
      </c>
      <c r="M297" s="3" t="s">
        <v>453</v>
      </c>
    </row>
    <row r="298" spans="1:13" x14ac:dyDescent="0.3">
      <c r="A298" s="3">
        <v>297</v>
      </c>
      <c r="B298" s="3" t="s">
        <v>326</v>
      </c>
      <c r="C298" s="3" t="s">
        <v>25</v>
      </c>
      <c r="D298" s="3" t="s">
        <v>13</v>
      </c>
      <c r="E298" s="3">
        <v>500</v>
      </c>
      <c r="F298" s="3">
        <v>75</v>
      </c>
      <c r="G298" s="3">
        <v>103</v>
      </c>
      <c r="H298" s="3">
        <v>80</v>
      </c>
      <c r="I298" s="3">
        <v>70</v>
      </c>
      <c r="J298" s="3">
        <v>80</v>
      </c>
      <c r="K298" s="3">
        <v>92</v>
      </c>
      <c r="L298" s="3">
        <v>5</v>
      </c>
      <c r="M298" s="3" t="s">
        <v>453</v>
      </c>
    </row>
    <row r="299" spans="1:13" x14ac:dyDescent="0.3">
      <c r="A299" s="3">
        <v>298</v>
      </c>
      <c r="B299" s="3" t="s">
        <v>327</v>
      </c>
      <c r="C299" s="3" t="s">
        <v>25</v>
      </c>
      <c r="D299" s="3" t="s">
        <v>14</v>
      </c>
      <c r="E299" s="3">
        <v>260</v>
      </c>
      <c r="F299" s="3">
        <v>30</v>
      </c>
      <c r="G299" s="3">
        <v>45</v>
      </c>
      <c r="H299" s="3">
        <v>59</v>
      </c>
      <c r="I299" s="3">
        <v>30</v>
      </c>
      <c r="J299" s="3">
        <v>39</v>
      </c>
      <c r="K299" s="3">
        <v>57</v>
      </c>
      <c r="L299" s="3">
        <v>5</v>
      </c>
      <c r="M299" s="3" t="s">
        <v>453</v>
      </c>
    </row>
    <row r="300" spans="1:13" x14ac:dyDescent="0.3">
      <c r="A300" s="3">
        <v>299</v>
      </c>
      <c r="B300" s="3" t="s">
        <v>328</v>
      </c>
      <c r="C300" s="3" t="s">
        <v>25</v>
      </c>
      <c r="D300" s="3" t="s">
        <v>14</v>
      </c>
      <c r="E300" s="3">
        <v>360</v>
      </c>
      <c r="F300" s="3">
        <v>40</v>
      </c>
      <c r="G300" s="3">
        <v>55</v>
      </c>
      <c r="H300" s="3">
        <v>99</v>
      </c>
      <c r="I300" s="3">
        <v>40</v>
      </c>
      <c r="J300" s="3">
        <v>79</v>
      </c>
      <c r="K300" s="3">
        <v>47</v>
      </c>
      <c r="L300" s="3">
        <v>5</v>
      </c>
      <c r="M300" s="3" t="s">
        <v>453</v>
      </c>
    </row>
    <row r="301" spans="1:13" x14ac:dyDescent="0.3">
      <c r="A301" s="3">
        <v>300</v>
      </c>
      <c r="B301" s="3" t="s">
        <v>329</v>
      </c>
      <c r="C301" s="3" t="s">
        <v>25</v>
      </c>
      <c r="D301" s="3" t="s">
        <v>14</v>
      </c>
      <c r="E301" s="3">
        <v>485</v>
      </c>
      <c r="F301" s="3">
        <v>60</v>
      </c>
      <c r="G301" s="3">
        <v>100</v>
      </c>
      <c r="H301" s="3">
        <v>89</v>
      </c>
      <c r="I301" s="3">
        <v>55</v>
      </c>
      <c r="J301" s="3">
        <v>69</v>
      </c>
      <c r="K301" s="3">
        <v>112</v>
      </c>
      <c r="L301" s="3">
        <v>5</v>
      </c>
      <c r="M301" s="3" t="s">
        <v>453</v>
      </c>
    </row>
    <row r="302" spans="1:13" x14ac:dyDescent="0.3">
      <c r="A302" s="3">
        <v>301</v>
      </c>
      <c r="B302" s="3" t="s">
        <v>330</v>
      </c>
      <c r="C302" s="3" t="s">
        <v>13</v>
      </c>
      <c r="D302" s="3" t="s">
        <v>41</v>
      </c>
      <c r="E302" s="3">
        <v>280</v>
      </c>
      <c r="F302" s="3">
        <v>40</v>
      </c>
      <c r="G302" s="3">
        <v>27</v>
      </c>
      <c r="H302" s="3">
        <v>60</v>
      </c>
      <c r="I302" s="3">
        <v>37</v>
      </c>
      <c r="J302" s="3">
        <v>50</v>
      </c>
      <c r="K302" s="3">
        <v>66</v>
      </c>
      <c r="L302" s="3">
        <v>5</v>
      </c>
      <c r="M302" s="3" t="s">
        <v>453</v>
      </c>
    </row>
    <row r="303" spans="1:13" x14ac:dyDescent="0.3">
      <c r="A303" s="3">
        <v>302</v>
      </c>
      <c r="B303" s="3" t="s">
        <v>331</v>
      </c>
      <c r="C303" s="3" t="s">
        <v>13</v>
      </c>
      <c r="D303" s="3" t="s">
        <v>41</v>
      </c>
      <c r="E303" s="3">
        <v>480</v>
      </c>
      <c r="F303" s="3">
        <v>60</v>
      </c>
      <c r="G303" s="3">
        <v>67</v>
      </c>
      <c r="H303" s="3">
        <v>85</v>
      </c>
      <c r="I303" s="3">
        <v>77</v>
      </c>
      <c r="J303" s="3">
        <v>75</v>
      </c>
      <c r="K303" s="3">
        <v>116</v>
      </c>
      <c r="L303" s="3">
        <v>5</v>
      </c>
      <c r="M303" s="3" t="s">
        <v>453</v>
      </c>
    </row>
    <row r="304" spans="1:13" x14ac:dyDescent="0.3">
      <c r="A304" s="3">
        <v>303</v>
      </c>
      <c r="B304" s="3" t="s">
        <v>332</v>
      </c>
      <c r="C304" s="3" t="s">
        <v>38</v>
      </c>
      <c r="D304" s="3" t="s">
        <v>95</v>
      </c>
      <c r="E304" s="3">
        <v>292</v>
      </c>
      <c r="F304" s="3">
        <v>50</v>
      </c>
      <c r="G304" s="3">
        <v>72</v>
      </c>
      <c r="H304" s="3">
        <v>35</v>
      </c>
      <c r="I304" s="3">
        <v>35</v>
      </c>
      <c r="J304" s="3">
        <v>35</v>
      </c>
      <c r="K304" s="3">
        <v>65</v>
      </c>
      <c r="L304" s="3">
        <v>5</v>
      </c>
      <c r="M304" s="3" t="s">
        <v>453</v>
      </c>
    </row>
    <row r="305" spans="1:13" x14ac:dyDescent="0.3">
      <c r="A305" s="3">
        <v>304</v>
      </c>
      <c r="B305" s="3" t="s">
        <v>333</v>
      </c>
      <c r="C305" s="3" t="s">
        <v>38</v>
      </c>
      <c r="D305" s="3" t="s">
        <v>95</v>
      </c>
      <c r="E305" s="3">
        <v>351</v>
      </c>
      <c r="F305" s="3">
        <v>60</v>
      </c>
      <c r="G305" s="3">
        <v>82</v>
      </c>
      <c r="H305" s="3">
        <v>45</v>
      </c>
      <c r="I305" s="3">
        <v>45</v>
      </c>
      <c r="J305" s="3">
        <v>45</v>
      </c>
      <c r="K305" s="3">
        <v>74</v>
      </c>
      <c r="L305" s="3">
        <v>5</v>
      </c>
      <c r="M305" s="3" t="s">
        <v>453</v>
      </c>
    </row>
    <row r="306" spans="1:13" x14ac:dyDescent="0.3">
      <c r="A306" s="3">
        <v>305</v>
      </c>
      <c r="B306" s="3" t="s">
        <v>334</v>
      </c>
      <c r="C306" s="3" t="s">
        <v>38</v>
      </c>
      <c r="D306" s="3" t="s">
        <v>95</v>
      </c>
      <c r="E306" s="3">
        <v>519</v>
      </c>
      <c r="F306" s="3">
        <v>95</v>
      </c>
      <c r="G306" s="3">
        <v>117</v>
      </c>
      <c r="H306" s="3">
        <v>80</v>
      </c>
      <c r="I306" s="3">
        <v>65</v>
      </c>
      <c r="J306" s="3">
        <v>70</v>
      </c>
      <c r="K306" s="3">
        <v>92</v>
      </c>
      <c r="L306" s="3">
        <v>5</v>
      </c>
      <c r="M306" s="3" t="s">
        <v>453</v>
      </c>
    </row>
    <row r="307" spans="1:13" x14ac:dyDescent="0.3">
      <c r="A307" s="3">
        <v>306</v>
      </c>
      <c r="B307" s="3" t="s">
        <v>335</v>
      </c>
      <c r="C307" s="3" t="s">
        <v>19</v>
      </c>
      <c r="D307" s="3" t="s">
        <v>65</v>
      </c>
      <c r="E307" s="3">
        <v>540</v>
      </c>
      <c r="F307" s="3">
        <v>105</v>
      </c>
      <c r="G307" s="3">
        <v>30</v>
      </c>
      <c r="H307" s="3">
        <v>105</v>
      </c>
      <c r="I307" s="3">
        <v>140</v>
      </c>
      <c r="J307" s="3">
        <v>105</v>
      </c>
      <c r="K307" s="3">
        <v>55</v>
      </c>
      <c r="L307" s="3">
        <v>5</v>
      </c>
      <c r="M307" s="3" t="s">
        <v>453</v>
      </c>
    </row>
    <row r="308" spans="1:13" x14ac:dyDescent="0.3">
      <c r="A308" s="3">
        <v>307</v>
      </c>
      <c r="B308" s="3" t="s">
        <v>336</v>
      </c>
      <c r="C308" s="3" t="s">
        <v>25</v>
      </c>
      <c r="D308" s="3" t="s">
        <v>61</v>
      </c>
      <c r="E308" s="3">
        <v>325</v>
      </c>
      <c r="F308" s="3">
        <v>50</v>
      </c>
      <c r="G308" s="3">
        <v>65</v>
      </c>
      <c r="H308" s="3">
        <v>85</v>
      </c>
      <c r="I308" s="3">
        <v>35</v>
      </c>
      <c r="J308" s="3">
        <v>35</v>
      </c>
      <c r="K308" s="3">
        <v>55</v>
      </c>
      <c r="L308" s="3">
        <v>5</v>
      </c>
      <c r="M308" s="3" t="s">
        <v>453</v>
      </c>
    </row>
    <row r="309" spans="1:13" x14ac:dyDescent="0.3">
      <c r="A309" s="3">
        <v>308</v>
      </c>
      <c r="B309" s="3" t="s">
        <v>337</v>
      </c>
      <c r="C309" s="3" t="s">
        <v>25</v>
      </c>
      <c r="D309" s="3" t="s">
        <v>61</v>
      </c>
      <c r="E309" s="3">
        <v>475</v>
      </c>
      <c r="F309" s="3">
        <v>70</v>
      </c>
      <c r="G309" s="3">
        <v>95</v>
      </c>
      <c r="H309" s="3">
        <v>125</v>
      </c>
      <c r="I309" s="3">
        <v>65</v>
      </c>
      <c r="J309" s="3">
        <v>75</v>
      </c>
      <c r="K309" s="3">
        <v>45</v>
      </c>
      <c r="L309" s="3">
        <v>5</v>
      </c>
      <c r="M309" s="3" t="s">
        <v>453</v>
      </c>
    </row>
    <row r="310" spans="1:13" x14ac:dyDescent="0.3">
      <c r="A310" s="3">
        <v>309</v>
      </c>
      <c r="B310" s="3" t="s">
        <v>338</v>
      </c>
      <c r="C310" s="3" t="s">
        <v>95</v>
      </c>
      <c r="D310" s="3" t="s">
        <v>54</v>
      </c>
      <c r="E310" s="3">
        <v>348</v>
      </c>
      <c r="F310" s="3">
        <v>50</v>
      </c>
      <c r="G310" s="3">
        <v>75</v>
      </c>
      <c r="H310" s="3">
        <v>70</v>
      </c>
      <c r="I310" s="3">
        <v>35</v>
      </c>
      <c r="J310" s="3">
        <v>70</v>
      </c>
      <c r="K310" s="3">
        <v>48</v>
      </c>
      <c r="L310" s="3">
        <v>5</v>
      </c>
      <c r="M310" s="3" t="s">
        <v>453</v>
      </c>
    </row>
    <row r="311" spans="1:13" x14ac:dyDescent="0.3">
      <c r="A311" s="3">
        <v>310</v>
      </c>
      <c r="B311" s="3" t="s">
        <v>339</v>
      </c>
      <c r="C311" s="3" t="s">
        <v>95</v>
      </c>
      <c r="D311" s="3" t="s">
        <v>54</v>
      </c>
      <c r="E311" s="3">
        <v>488</v>
      </c>
      <c r="F311" s="3">
        <v>65</v>
      </c>
      <c r="G311" s="3">
        <v>90</v>
      </c>
      <c r="H311" s="3">
        <v>115</v>
      </c>
      <c r="I311" s="3">
        <v>45</v>
      </c>
      <c r="J311" s="3">
        <v>115</v>
      </c>
      <c r="K311" s="3">
        <v>58</v>
      </c>
      <c r="L311" s="3">
        <v>5</v>
      </c>
      <c r="M311" s="3" t="s">
        <v>453</v>
      </c>
    </row>
    <row r="312" spans="1:13" x14ac:dyDescent="0.3">
      <c r="A312" s="3">
        <v>311</v>
      </c>
      <c r="B312" s="3" t="s">
        <v>340</v>
      </c>
      <c r="C312" s="3" t="s">
        <v>65</v>
      </c>
      <c r="D312" s="3" t="s">
        <v>20</v>
      </c>
      <c r="E312" s="3">
        <v>490</v>
      </c>
      <c r="F312" s="3">
        <v>72</v>
      </c>
      <c r="G312" s="3">
        <v>58</v>
      </c>
      <c r="H312" s="3">
        <v>80</v>
      </c>
      <c r="I312" s="3">
        <v>103</v>
      </c>
      <c r="J312" s="3">
        <v>80</v>
      </c>
      <c r="K312" s="3">
        <v>97</v>
      </c>
      <c r="L312" s="3">
        <v>5</v>
      </c>
      <c r="M312" s="3" t="s">
        <v>453</v>
      </c>
    </row>
    <row r="313" spans="1:13" x14ac:dyDescent="0.3">
      <c r="A313" s="3">
        <v>312</v>
      </c>
      <c r="B313" s="3" t="s">
        <v>341</v>
      </c>
      <c r="C313" s="3" t="s">
        <v>53</v>
      </c>
      <c r="D313" s="3" t="s">
        <v>61</v>
      </c>
      <c r="E313" s="3">
        <v>355</v>
      </c>
      <c r="F313" s="3">
        <v>54</v>
      </c>
      <c r="G313" s="3">
        <v>78</v>
      </c>
      <c r="H313" s="3">
        <v>103</v>
      </c>
      <c r="I313" s="3">
        <v>53</v>
      </c>
      <c r="J313" s="3">
        <v>45</v>
      </c>
      <c r="K313" s="3">
        <v>22</v>
      </c>
      <c r="L313" s="3">
        <v>5</v>
      </c>
      <c r="M313" s="3" t="s">
        <v>453</v>
      </c>
    </row>
    <row r="314" spans="1:13" x14ac:dyDescent="0.3">
      <c r="A314" s="3">
        <v>313</v>
      </c>
      <c r="B314" s="3" t="s">
        <v>342</v>
      </c>
      <c r="C314" s="3" t="s">
        <v>53</v>
      </c>
      <c r="D314" s="3" t="s">
        <v>61</v>
      </c>
      <c r="E314" s="3">
        <v>495</v>
      </c>
      <c r="F314" s="3">
        <v>74</v>
      </c>
      <c r="G314" s="3">
        <v>108</v>
      </c>
      <c r="H314" s="3">
        <v>133</v>
      </c>
      <c r="I314" s="3">
        <v>83</v>
      </c>
      <c r="J314" s="3">
        <v>65</v>
      </c>
      <c r="K314" s="3">
        <v>32</v>
      </c>
      <c r="L314" s="3">
        <v>5</v>
      </c>
      <c r="M314" s="3" t="s">
        <v>453</v>
      </c>
    </row>
    <row r="315" spans="1:13" x14ac:dyDescent="0.3">
      <c r="A315" s="3">
        <v>314</v>
      </c>
      <c r="B315" s="3" t="s">
        <v>343</v>
      </c>
      <c r="C315" s="3" t="s">
        <v>61</v>
      </c>
      <c r="D315" s="3" t="s">
        <v>20</v>
      </c>
      <c r="E315" s="3">
        <v>401</v>
      </c>
      <c r="F315" s="3">
        <v>55</v>
      </c>
      <c r="G315" s="3">
        <v>112</v>
      </c>
      <c r="H315" s="3">
        <v>45</v>
      </c>
      <c r="I315" s="3">
        <v>74</v>
      </c>
      <c r="J315" s="3">
        <v>45</v>
      </c>
      <c r="K315" s="3">
        <v>70</v>
      </c>
      <c r="L315" s="3">
        <v>5</v>
      </c>
      <c r="M315" s="3" t="s">
        <v>453</v>
      </c>
    </row>
    <row r="316" spans="1:13" x14ac:dyDescent="0.3">
      <c r="A316" s="3">
        <v>315</v>
      </c>
      <c r="B316" s="3" t="s">
        <v>344</v>
      </c>
      <c r="C316" s="3" t="s">
        <v>61</v>
      </c>
      <c r="D316" s="3" t="s">
        <v>20</v>
      </c>
      <c r="E316" s="3">
        <v>567</v>
      </c>
      <c r="F316" s="3">
        <v>75</v>
      </c>
      <c r="G316" s="3">
        <v>140</v>
      </c>
      <c r="H316" s="3">
        <v>65</v>
      </c>
      <c r="I316" s="3">
        <v>112</v>
      </c>
      <c r="J316" s="3">
        <v>65</v>
      </c>
      <c r="K316" s="3">
        <v>110</v>
      </c>
      <c r="L316" s="3">
        <v>5</v>
      </c>
      <c r="M316" s="3" t="s">
        <v>453</v>
      </c>
    </row>
    <row r="317" spans="1:13" x14ac:dyDescent="0.3">
      <c r="A317" s="3">
        <v>316</v>
      </c>
      <c r="B317" s="3" t="s">
        <v>345</v>
      </c>
      <c r="C317" s="3" t="s">
        <v>53</v>
      </c>
      <c r="D317" s="3" t="s">
        <v>20</v>
      </c>
      <c r="E317" s="3">
        <v>305</v>
      </c>
      <c r="F317" s="3">
        <v>62</v>
      </c>
      <c r="G317" s="3">
        <v>44</v>
      </c>
      <c r="H317" s="3">
        <v>50</v>
      </c>
      <c r="I317" s="3">
        <v>44</v>
      </c>
      <c r="J317" s="3">
        <v>50</v>
      </c>
      <c r="K317" s="3">
        <v>55</v>
      </c>
      <c r="L317" s="3">
        <v>5</v>
      </c>
      <c r="M317" s="3" t="s">
        <v>453</v>
      </c>
    </row>
    <row r="318" spans="1:13" x14ac:dyDescent="0.3">
      <c r="A318" s="3">
        <v>317</v>
      </c>
      <c r="B318" s="3" t="s">
        <v>346</v>
      </c>
      <c r="C318" s="3" t="s">
        <v>53</v>
      </c>
      <c r="D318" s="3" t="s">
        <v>20</v>
      </c>
      <c r="E318" s="3">
        <v>473</v>
      </c>
      <c r="F318" s="3">
        <v>75</v>
      </c>
      <c r="G318" s="3">
        <v>87</v>
      </c>
      <c r="H318" s="3">
        <v>63</v>
      </c>
      <c r="I318" s="3">
        <v>87</v>
      </c>
      <c r="J318" s="3">
        <v>63</v>
      </c>
      <c r="K318" s="3">
        <v>98</v>
      </c>
      <c r="L318" s="3">
        <v>5</v>
      </c>
      <c r="M318" s="3" t="s">
        <v>453</v>
      </c>
    </row>
    <row r="319" spans="1:13" x14ac:dyDescent="0.3">
      <c r="A319" s="3">
        <v>318</v>
      </c>
      <c r="B319" s="3" t="s">
        <v>347</v>
      </c>
      <c r="C319" s="3" t="s">
        <v>31</v>
      </c>
      <c r="D319" s="3" t="s">
        <v>13</v>
      </c>
      <c r="E319" s="3">
        <v>335</v>
      </c>
      <c r="F319" s="3">
        <v>60</v>
      </c>
      <c r="G319" s="3">
        <v>60</v>
      </c>
      <c r="H319" s="3">
        <v>50</v>
      </c>
      <c r="I319" s="3">
        <v>40</v>
      </c>
      <c r="J319" s="3">
        <v>50</v>
      </c>
      <c r="K319" s="3">
        <v>75</v>
      </c>
      <c r="L319" s="3">
        <v>5</v>
      </c>
      <c r="M319" s="3" t="s">
        <v>453</v>
      </c>
    </row>
    <row r="320" spans="1:13" x14ac:dyDescent="0.3">
      <c r="A320" s="3">
        <v>319</v>
      </c>
      <c r="B320" s="3" t="s">
        <v>348</v>
      </c>
      <c r="C320" s="3" t="s">
        <v>31</v>
      </c>
      <c r="D320" s="3" t="s">
        <v>13</v>
      </c>
      <c r="E320" s="3">
        <v>475</v>
      </c>
      <c r="F320" s="3">
        <v>80</v>
      </c>
      <c r="G320" s="3">
        <v>100</v>
      </c>
      <c r="H320" s="3">
        <v>70</v>
      </c>
      <c r="I320" s="3">
        <v>60</v>
      </c>
      <c r="J320" s="3">
        <v>70</v>
      </c>
      <c r="K320" s="3">
        <v>95</v>
      </c>
      <c r="L320" s="3">
        <v>5</v>
      </c>
      <c r="M320" s="3" t="s">
        <v>453</v>
      </c>
    </row>
    <row r="321" spans="1:13" x14ac:dyDescent="0.3">
      <c r="A321" s="3">
        <v>320</v>
      </c>
      <c r="B321" s="3" t="s">
        <v>349</v>
      </c>
      <c r="C321" s="3" t="s">
        <v>69</v>
      </c>
      <c r="D321" s="3" t="s">
        <v>20</v>
      </c>
      <c r="E321" s="3">
        <v>428</v>
      </c>
      <c r="F321" s="3">
        <v>55</v>
      </c>
      <c r="G321" s="3">
        <v>75</v>
      </c>
      <c r="H321" s="3">
        <v>60</v>
      </c>
      <c r="I321" s="3">
        <v>75</v>
      </c>
      <c r="J321" s="3">
        <v>60</v>
      </c>
      <c r="K321" s="3">
        <v>103</v>
      </c>
      <c r="L321" s="3">
        <v>5</v>
      </c>
      <c r="M321" s="3" t="s">
        <v>453</v>
      </c>
    </row>
    <row r="322" spans="1:13" x14ac:dyDescent="0.3">
      <c r="A322" s="3">
        <v>321</v>
      </c>
      <c r="B322" s="3" t="s">
        <v>350</v>
      </c>
      <c r="C322" s="3" t="s">
        <v>25</v>
      </c>
      <c r="D322" s="3" t="s">
        <v>70</v>
      </c>
      <c r="E322" s="3">
        <v>495</v>
      </c>
      <c r="F322" s="3">
        <v>70</v>
      </c>
      <c r="G322" s="3">
        <v>135</v>
      </c>
      <c r="H322" s="3">
        <v>105</v>
      </c>
      <c r="I322" s="3">
        <v>60</v>
      </c>
      <c r="J322" s="3">
        <v>105</v>
      </c>
      <c r="K322" s="3">
        <v>20</v>
      </c>
      <c r="L322" s="3">
        <v>5</v>
      </c>
      <c r="M322" s="3" t="s">
        <v>453</v>
      </c>
    </row>
    <row r="323" spans="1:13" x14ac:dyDescent="0.3">
      <c r="A323" s="3">
        <v>322</v>
      </c>
      <c r="B323" s="3" t="s">
        <v>351</v>
      </c>
      <c r="C323" s="3" t="s">
        <v>13</v>
      </c>
      <c r="D323" s="3" t="s">
        <v>14</v>
      </c>
      <c r="E323" s="3">
        <v>294</v>
      </c>
      <c r="F323" s="3">
        <v>69</v>
      </c>
      <c r="G323" s="3">
        <v>55</v>
      </c>
      <c r="H323" s="3">
        <v>45</v>
      </c>
      <c r="I323" s="3">
        <v>55</v>
      </c>
      <c r="J323" s="3">
        <v>55</v>
      </c>
      <c r="K323" s="3">
        <v>15</v>
      </c>
      <c r="L323" s="3">
        <v>5</v>
      </c>
      <c r="M323" s="3" t="s">
        <v>453</v>
      </c>
    </row>
    <row r="324" spans="1:13" x14ac:dyDescent="0.3">
      <c r="A324" s="3">
        <v>323</v>
      </c>
      <c r="B324" s="3" t="s">
        <v>352</v>
      </c>
      <c r="C324" s="3" t="s">
        <v>13</v>
      </c>
      <c r="D324" s="3" t="s">
        <v>14</v>
      </c>
      <c r="E324" s="3">
        <v>464</v>
      </c>
      <c r="F324" s="3">
        <v>114</v>
      </c>
      <c r="G324" s="3">
        <v>85</v>
      </c>
      <c r="H324" s="3">
        <v>70</v>
      </c>
      <c r="I324" s="3">
        <v>85</v>
      </c>
      <c r="J324" s="3">
        <v>80</v>
      </c>
      <c r="K324" s="3">
        <v>30</v>
      </c>
      <c r="L324" s="3">
        <v>5</v>
      </c>
      <c r="M324" s="3" t="s">
        <v>453</v>
      </c>
    </row>
    <row r="325" spans="1:13" x14ac:dyDescent="0.3">
      <c r="A325" s="3">
        <v>324</v>
      </c>
      <c r="B325" s="3" t="s">
        <v>353</v>
      </c>
      <c r="C325" s="3" t="s">
        <v>53</v>
      </c>
      <c r="D325" s="3" t="s">
        <v>79</v>
      </c>
      <c r="E325" s="3">
        <v>335</v>
      </c>
      <c r="F325" s="3">
        <v>55</v>
      </c>
      <c r="G325" s="3">
        <v>40</v>
      </c>
      <c r="H325" s="3">
        <v>50</v>
      </c>
      <c r="I325" s="3">
        <v>65</v>
      </c>
      <c r="J325" s="3">
        <v>85</v>
      </c>
      <c r="K325" s="3">
        <v>40</v>
      </c>
      <c r="L325" s="3">
        <v>5</v>
      </c>
      <c r="M325" s="3" t="s">
        <v>453</v>
      </c>
    </row>
    <row r="326" spans="1:13" x14ac:dyDescent="0.3">
      <c r="A326" s="3">
        <v>325</v>
      </c>
      <c r="B326" s="3" t="s">
        <v>354</v>
      </c>
      <c r="C326" s="3" t="s">
        <v>53</v>
      </c>
      <c r="D326" s="3" t="s">
        <v>79</v>
      </c>
      <c r="E326" s="3">
        <v>480</v>
      </c>
      <c r="F326" s="3">
        <v>100</v>
      </c>
      <c r="G326" s="3">
        <v>60</v>
      </c>
      <c r="H326" s="3">
        <v>70</v>
      </c>
      <c r="I326" s="3">
        <v>85</v>
      </c>
      <c r="J326" s="3">
        <v>105</v>
      </c>
      <c r="K326" s="3">
        <v>60</v>
      </c>
      <c r="L326" s="3">
        <v>5</v>
      </c>
      <c r="M326" s="3" t="s">
        <v>453</v>
      </c>
    </row>
    <row r="327" spans="1:13" x14ac:dyDescent="0.3">
      <c r="A327" s="3">
        <v>326</v>
      </c>
      <c r="B327" s="3" t="s">
        <v>355</v>
      </c>
      <c r="C327" s="3" t="s">
        <v>25</v>
      </c>
      <c r="D327" s="3" t="s">
        <v>69</v>
      </c>
      <c r="E327" s="3">
        <v>319</v>
      </c>
      <c r="F327" s="3">
        <v>50</v>
      </c>
      <c r="G327" s="3">
        <v>47</v>
      </c>
      <c r="H327" s="3">
        <v>50</v>
      </c>
      <c r="I327" s="3">
        <v>57</v>
      </c>
      <c r="J327" s="3">
        <v>50</v>
      </c>
      <c r="K327" s="3">
        <v>65</v>
      </c>
      <c r="L327" s="3">
        <v>5</v>
      </c>
      <c r="M327" s="3" t="s">
        <v>453</v>
      </c>
    </row>
    <row r="328" spans="1:13" x14ac:dyDescent="0.3">
      <c r="A328" s="3">
        <v>327</v>
      </c>
      <c r="B328" s="3" t="s">
        <v>356</v>
      </c>
      <c r="C328" s="3" t="s">
        <v>25</v>
      </c>
      <c r="D328" s="3" t="s">
        <v>69</v>
      </c>
      <c r="E328" s="3">
        <v>472</v>
      </c>
      <c r="F328" s="3">
        <v>70</v>
      </c>
      <c r="G328" s="3">
        <v>77</v>
      </c>
      <c r="H328" s="3">
        <v>60</v>
      </c>
      <c r="I328" s="3">
        <v>97</v>
      </c>
      <c r="J328" s="3">
        <v>60</v>
      </c>
      <c r="K328" s="3">
        <v>108</v>
      </c>
      <c r="L328" s="3">
        <v>5</v>
      </c>
      <c r="M328" s="3" t="s">
        <v>453</v>
      </c>
    </row>
    <row r="329" spans="1:13" x14ac:dyDescent="0.3">
      <c r="A329" s="3">
        <v>328</v>
      </c>
      <c r="B329" s="3" t="s">
        <v>357</v>
      </c>
      <c r="C329" s="3" t="s">
        <v>13</v>
      </c>
      <c r="D329" s="3" t="s">
        <v>70</v>
      </c>
      <c r="E329" s="3">
        <v>305</v>
      </c>
      <c r="F329" s="3">
        <v>44</v>
      </c>
      <c r="G329" s="3">
        <v>50</v>
      </c>
      <c r="H329" s="3">
        <v>91</v>
      </c>
      <c r="I329" s="3">
        <v>24</v>
      </c>
      <c r="J329" s="3">
        <v>86</v>
      </c>
      <c r="K329" s="3">
        <v>10</v>
      </c>
      <c r="L329" s="3">
        <v>5</v>
      </c>
      <c r="M329" s="3" t="s">
        <v>453</v>
      </c>
    </row>
    <row r="330" spans="1:13" x14ac:dyDescent="0.3">
      <c r="A330" s="3">
        <v>329</v>
      </c>
      <c r="B330" s="3" t="s">
        <v>358</v>
      </c>
      <c r="C330" s="3" t="s">
        <v>13</v>
      </c>
      <c r="D330" s="3" t="s">
        <v>70</v>
      </c>
      <c r="E330" s="3">
        <v>489</v>
      </c>
      <c r="F330" s="3">
        <v>74</v>
      </c>
      <c r="G330" s="3">
        <v>94</v>
      </c>
      <c r="H330" s="3">
        <v>131</v>
      </c>
      <c r="I330" s="3">
        <v>54</v>
      </c>
      <c r="J330" s="3">
        <v>116</v>
      </c>
      <c r="K330" s="3">
        <v>20</v>
      </c>
      <c r="L330" s="3">
        <v>5</v>
      </c>
      <c r="M330" s="3" t="s">
        <v>453</v>
      </c>
    </row>
    <row r="331" spans="1:13" x14ac:dyDescent="0.3">
      <c r="A331" s="3">
        <v>330</v>
      </c>
      <c r="B331" s="3" t="s">
        <v>359</v>
      </c>
      <c r="C331" s="3" t="s">
        <v>79</v>
      </c>
      <c r="D331" s="3" t="s">
        <v>19</v>
      </c>
      <c r="E331" s="3">
        <v>275</v>
      </c>
      <c r="F331" s="3">
        <v>50</v>
      </c>
      <c r="G331" s="3">
        <v>30</v>
      </c>
      <c r="H331" s="3">
        <v>55</v>
      </c>
      <c r="I331" s="3">
        <v>65</v>
      </c>
      <c r="J331" s="3">
        <v>55</v>
      </c>
      <c r="K331" s="3">
        <v>20</v>
      </c>
      <c r="L331" s="3">
        <v>5</v>
      </c>
      <c r="M331" s="3" t="s">
        <v>453</v>
      </c>
    </row>
    <row r="332" spans="1:13" x14ac:dyDescent="0.3">
      <c r="A332" s="3">
        <v>331</v>
      </c>
      <c r="B332" s="3" t="s">
        <v>360</v>
      </c>
      <c r="C332" s="3" t="s">
        <v>79</v>
      </c>
      <c r="D332" s="3" t="s">
        <v>19</v>
      </c>
      <c r="E332" s="3">
        <v>370</v>
      </c>
      <c r="F332" s="3">
        <v>60</v>
      </c>
      <c r="G332" s="3">
        <v>40</v>
      </c>
      <c r="H332" s="3">
        <v>60</v>
      </c>
      <c r="I332" s="3">
        <v>95</v>
      </c>
      <c r="J332" s="3">
        <v>60</v>
      </c>
      <c r="K332" s="3">
        <v>55</v>
      </c>
      <c r="L332" s="3">
        <v>5</v>
      </c>
      <c r="M332" s="3" t="s">
        <v>453</v>
      </c>
    </row>
    <row r="333" spans="1:13" x14ac:dyDescent="0.3">
      <c r="A333" s="3">
        <v>332</v>
      </c>
      <c r="B333" s="3" t="s">
        <v>361</v>
      </c>
      <c r="C333" s="3" t="s">
        <v>79</v>
      </c>
      <c r="D333" s="3" t="s">
        <v>19</v>
      </c>
      <c r="E333" s="3">
        <v>520</v>
      </c>
      <c r="F333" s="3">
        <v>60</v>
      </c>
      <c r="G333" s="3">
        <v>55</v>
      </c>
      <c r="H333" s="3">
        <v>90</v>
      </c>
      <c r="I333" s="3">
        <v>145</v>
      </c>
      <c r="J333" s="3">
        <v>90</v>
      </c>
      <c r="K333" s="3">
        <v>80</v>
      </c>
      <c r="L333" s="3">
        <v>5</v>
      </c>
      <c r="M333" s="3" t="s">
        <v>453</v>
      </c>
    </row>
    <row r="334" spans="1:13" x14ac:dyDescent="0.3">
      <c r="A334" s="3">
        <v>333</v>
      </c>
      <c r="B334" s="3" t="s">
        <v>362</v>
      </c>
      <c r="C334" s="3" t="s">
        <v>38</v>
      </c>
      <c r="D334" s="3" t="s">
        <v>69</v>
      </c>
      <c r="E334" s="3">
        <v>471</v>
      </c>
      <c r="F334" s="3">
        <v>109</v>
      </c>
      <c r="G334" s="3">
        <v>66</v>
      </c>
      <c r="H334" s="3">
        <v>84</v>
      </c>
      <c r="I334" s="3">
        <v>81</v>
      </c>
      <c r="J334" s="3">
        <v>99</v>
      </c>
      <c r="K334" s="3">
        <v>32</v>
      </c>
      <c r="L334" s="3">
        <v>5</v>
      </c>
      <c r="M334" s="3" t="s">
        <v>453</v>
      </c>
    </row>
    <row r="335" spans="1:13" x14ac:dyDescent="0.3">
      <c r="A335" s="3">
        <v>334</v>
      </c>
      <c r="B335" s="3" t="s">
        <v>363</v>
      </c>
      <c r="C335" s="3" t="s">
        <v>38</v>
      </c>
      <c r="D335" s="3" t="s">
        <v>79</v>
      </c>
      <c r="E335" s="3">
        <v>303</v>
      </c>
      <c r="F335" s="3">
        <v>59</v>
      </c>
      <c r="G335" s="3">
        <v>74</v>
      </c>
      <c r="H335" s="3">
        <v>50</v>
      </c>
      <c r="I335" s="3">
        <v>35</v>
      </c>
      <c r="J335" s="3">
        <v>50</v>
      </c>
      <c r="K335" s="3">
        <v>35</v>
      </c>
      <c r="L335" s="3">
        <v>5</v>
      </c>
      <c r="M335" s="3" t="s">
        <v>453</v>
      </c>
    </row>
    <row r="336" spans="1:13" x14ac:dyDescent="0.3">
      <c r="A336" s="3">
        <v>335</v>
      </c>
      <c r="B336" s="3" t="s">
        <v>364</v>
      </c>
      <c r="C336" s="3" t="s">
        <v>38</v>
      </c>
      <c r="D336" s="3" t="s">
        <v>79</v>
      </c>
      <c r="E336" s="3">
        <v>483</v>
      </c>
      <c r="F336" s="3">
        <v>89</v>
      </c>
      <c r="G336" s="3">
        <v>124</v>
      </c>
      <c r="H336" s="3">
        <v>80</v>
      </c>
      <c r="I336" s="3">
        <v>55</v>
      </c>
      <c r="J336" s="3">
        <v>80</v>
      </c>
      <c r="K336" s="3">
        <v>55</v>
      </c>
      <c r="L336" s="3">
        <v>5</v>
      </c>
      <c r="M336" s="3" t="s">
        <v>453</v>
      </c>
    </row>
    <row r="337" spans="1:13" x14ac:dyDescent="0.3">
      <c r="A337" s="3">
        <v>336</v>
      </c>
      <c r="B337" s="3" t="s">
        <v>365</v>
      </c>
      <c r="C337" s="3" t="s">
        <v>95</v>
      </c>
      <c r="D337" s="3" t="s">
        <v>70</v>
      </c>
      <c r="E337" s="3">
        <v>340</v>
      </c>
      <c r="F337" s="3">
        <v>45</v>
      </c>
      <c r="G337" s="3">
        <v>85</v>
      </c>
      <c r="H337" s="3">
        <v>70</v>
      </c>
      <c r="I337" s="3">
        <v>40</v>
      </c>
      <c r="J337" s="3">
        <v>40</v>
      </c>
      <c r="K337" s="3">
        <v>60</v>
      </c>
      <c r="L337" s="3">
        <v>5</v>
      </c>
      <c r="M337" s="3" t="s">
        <v>453</v>
      </c>
    </row>
    <row r="338" spans="1:13" x14ac:dyDescent="0.3">
      <c r="A338" s="3">
        <v>337</v>
      </c>
      <c r="B338" s="3" t="s">
        <v>366</v>
      </c>
      <c r="C338" s="3" t="s">
        <v>95</v>
      </c>
      <c r="D338" s="3" t="s">
        <v>70</v>
      </c>
      <c r="E338" s="3">
        <v>490</v>
      </c>
      <c r="F338" s="3">
        <v>65</v>
      </c>
      <c r="G338" s="3">
        <v>125</v>
      </c>
      <c r="H338" s="3">
        <v>100</v>
      </c>
      <c r="I338" s="3">
        <v>60</v>
      </c>
      <c r="J338" s="3">
        <v>70</v>
      </c>
      <c r="K338" s="3">
        <v>70</v>
      </c>
      <c r="L338" s="3">
        <v>5</v>
      </c>
      <c r="M338" s="3" t="s">
        <v>453</v>
      </c>
    </row>
    <row r="339" spans="1:13" x14ac:dyDescent="0.3">
      <c r="A339" s="3">
        <v>338</v>
      </c>
      <c r="B339" s="3" t="s">
        <v>367</v>
      </c>
      <c r="C339" s="3" t="s">
        <v>31</v>
      </c>
      <c r="D339" s="3" t="s">
        <v>20</v>
      </c>
      <c r="E339" s="3">
        <v>350</v>
      </c>
      <c r="F339" s="3">
        <v>70</v>
      </c>
      <c r="G339" s="3">
        <v>83</v>
      </c>
      <c r="H339" s="3">
        <v>50</v>
      </c>
      <c r="I339" s="3">
        <v>37</v>
      </c>
      <c r="J339" s="3">
        <v>50</v>
      </c>
      <c r="K339" s="3">
        <v>60</v>
      </c>
      <c r="L339" s="3">
        <v>5</v>
      </c>
      <c r="M339" s="3" t="s">
        <v>453</v>
      </c>
    </row>
    <row r="340" spans="1:13" x14ac:dyDescent="0.3">
      <c r="A340" s="3">
        <v>339</v>
      </c>
      <c r="B340" s="3" t="s">
        <v>368</v>
      </c>
      <c r="C340" s="3" t="s">
        <v>31</v>
      </c>
      <c r="D340" s="3" t="s">
        <v>20</v>
      </c>
      <c r="E340" s="3">
        <v>510</v>
      </c>
      <c r="F340" s="3">
        <v>100</v>
      </c>
      <c r="G340" s="3">
        <v>123</v>
      </c>
      <c r="H340" s="3">
        <v>75</v>
      </c>
      <c r="I340" s="3">
        <v>57</v>
      </c>
      <c r="J340" s="3">
        <v>75</v>
      </c>
      <c r="K340" s="3">
        <v>80</v>
      </c>
      <c r="L340" s="3">
        <v>5</v>
      </c>
      <c r="M340" s="3" t="s">
        <v>453</v>
      </c>
    </row>
    <row r="341" spans="1:13" x14ac:dyDescent="0.3">
      <c r="A341" s="3">
        <v>340</v>
      </c>
      <c r="B341" s="3" t="s">
        <v>369</v>
      </c>
      <c r="C341" s="3" t="s">
        <v>95</v>
      </c>
      <c r="D341" s="3" t="s">
        <v>20</v>
      </c>
      <c r="E341" s="3">
        <v>370</v>
      </c>
      <c r="F341" s="3">
        <v>70</v>
      </c>
      <c r="G341" s="3">
        <v>55</v>
      </c>
      <c r="H341" s="3">
        <v>75</v>
      </c>
      <c r="I341" s="3">
        <v>45</v>
      </c>
      <c r="J341" s="3">
        <v>65</v>
      </c>
      <c r="K341" s="3">
        <v>60</v>
      </c>
      <c r="L341" s="3">
        <v>5</v>
      </c>
      <c r="M341" s="3" t="s">
        <v>453</v>
      </c>
    </row>
    <row r="342" spans="1:13" x14ac:dyDescent="0.3">
      <c r="A342" s="3">
        <v>341</v>
      </c>
      <c r="B342" s="3" t="s">
        <v>370</v>
      </c>
      <c r="C342" s="3" t="s">
        <v>95</v>
      </c>
      <c r="D342" s="3" t="s">
        <v>20</v>
      </c>
      <c r="E342" s="3">
        <v>510</v>
      </c>
      <c r="F342" s="3">
        <v>110</v>
      </c>
      <c r="G342" s="3">
        <v>65</v>
      </c>
      <c r="H342" s="3">
        <v>105</v>
      </c>
      <c r="I342" s="3">
        <v>55</v>
      </c>
      <c r="J342" s="3">
        <v>95</v>
      </c>
      <c r="K342" s="3">
        <v>80</v>
      </c>
      <c r="L342" s="3">
        <v>5</v>
      </c>
      <c r="M342" s="3" t="s">
        <v>453</v>
      </c>
    </row>
    <row r="343" spans="1:13" x14ac:dyDescent="0.3">
      <c r="A343" s="3">
        <v>342</v>
      </c>
      <c r="B343" s="3" t="s">
        <v>371</v>
      </c>
      <c r="C343" s="3" t="s">
        <v>25</v>
      </c>
      <c r="D343" s="3" t="s">
        <v>70</v>
      </c>
      <c r="E343" s="3">
        <v>484</v>
      </c>
      <c r="F343" s="3">
        <v>58</v>
      </c>
      <c r="G343" s="3">
        <v>109</v>
      </c>
      <c r="H343" s="3">
        <v>112</v>
      </c>
      <c r="I343" s="3">
        <v>48</v>
      </c>
      <c r="J343" s="3">
        <v>48</v>
      </c>
      <c r="K343" s="3">
        <v>109</v>
      </c>
      <c r="L343" s="3">
        <v>5</v>
      </c>
      <c r="M343" s="3" t="s">
        <v>453</v>
      </c>
    </row>
    <row r="344" spans="1:13" x14ac:dyDescent="0.3">
      <c r="A344" s="3">
        <v>343</v>
      </c>
      <c r="B344" s="3" t="s">
        <v>372</v>
      </c>
      <c r="C344" s="3" t="s">
        <v>95</v>
      </c>
      <c r="D344" s="3" t="s">
        <v>22</v>
      </c>
      <c r="E344" s="3">
        <v>300</v>
      </c>
      <c r="F344" s="3">
        <v>52</v>
      </c>
      <c r="G344" s="3">
        <v>65</v>
      </c>
      <c r="H344" s="3">
        <v>50</v>
      </c>
      <c r="I344" s="3">
        <v>45</v>
      </c>
      <c r="J344" s="3">
        <v>50</v>
      </c>
      <c r="K344" s="3">
        <v>38</v>
      </c>
      <c r="L344" s="3">
        <v>5</v>
      </c>
      <c r="M344" s="3" t="s">
        <v>453</v>
      </c>
    </row>
    <row r="345" spans="1:13" x14ac:dyDescent="0.3">
      <c r="A345" s="3">
        <v>344</v>
      </c>
      <c r="B345" s="3" t="s">
        <v>373</v>
      </c>
      <c r="C345" s="3" t="s">
        <v>95</v>
      </c>
      <c r="D345" s="3" t="s">
        <v>22</v>
      </c>
      <c r="E345" s="3">
        <v>420</v>
      </c>
      <c r="F345" s="3">
        <v>72</v>
      </c>
      <c r="G345" s="3">
        <v>85</v>
      </c>
      <c r="H345" s="3">
        <v>70</v>
      </c>
      <c r="I345" s="3">
        <v>65</v>
      </c>
      <c r="J345" s="3">
        <v>70</v>
      </c>
      <c r="K345" s="3">
        <v>58</v>
      </c>
      <c r="L345" s="3">
        <v>5</v>
      </c>
      <c r="M345" s="3" t="s">
        <v>453</v>
      </c>
    </row>
    <row r="346" spans="1:13" x14ac:dyDescent="0.3">
      <c r="A346" s="3">
        <v>345</v>
      </c>
      <c r="B346" s="3" t="s">
        <v>374</v>
      </c>
      <c r="C346" s="3" t="s">
        <v>95</v>
      </c>
      <c r="D346" s="3" t="s">
        <v>22</v>
      </c>
      <c r="E346" s="3">
        <v>600</v>
      </c>
      <c r="F346" s="3">
        <v>92</v>
      </c>
      <c r="G346" s="3">
        <v>105</v>
      </c>
      <c r="H346" s="3">
        <v>90</v>
      </c>
      <c r="I346" s="3">
        <v>125</v>
      </c>
      <c r="J346" s="3">
        <v>90</v>
      </c>
      <c r="K346" s="3">
        <v>98</v>
      </c>
      <c r="L346" s="3">
        <v>5</v>
      </c>
      <c r="M346" s="3" t="s">
        <v>453</v>
      </c>
    </row>
    <row r="347" spans="1:13" x14ac:dyDescent="0.3">
      <c r="A347" s="3">
        <v>346</v>
      </c>
      <c r="B347" s="3" t="s">
        <v>375</v>
      </c>
      <c r="C347" s="3" t="s">
        <v>25</v>
      </c>
      <c r="D347" s="3" t="s">
        <v>19</v>
      </c>
      <c r="E347" s="3">
        <v>360</v>
      </c>
      <c r="F347" s="3">
        <v>55</v>
      </c>
      <c r="G347" s="3">
        <v>85</v>
      </c>
      <c r="H347" s="3">
        <v>55</v>
      </c>
      <c r="I347" s="3">
        <v>50</v>
      </c>
      <c r="J347" s="3">
        <v>55</v>
      </c>
      <c r="K347" s="3">
        <v>60</v>
      </c>
      <c r="L347" s="3">
        <v>5</v>
      </c>
      <c r="M347" s="3" t="s">
        <v>453</v>
      </c>
    </row>
    <row r="348" spans="1:13" x14ac:dyDescent="0.3">
      <c r="A348" s="3">
        <v>347</v>
      </c>
      <c r="B348" s="3" t="s">
        <v>376</v>
      </c>
      <c r="C348" s="3" t="s">
        <v>25</v>
      </c>
      <c r="D348" s="3" t="s">
        <v>19</v>
      </c>
      <c r="E348" s="3">
        <v>550</v>
      </c>
      <c r="F348" s="3">
        <v>85</v>
      </c>
      <c r="G348" s="3">
        <v>60</v>
      </c>
      <c r="H348" s="3">
        <v>65</v>
      </c>
      <c r="I348" s="3">
        <v>135</v>
      </c>
      <c r="J348" s="3">
        <v>105</v>
      </c>
      <c r="K348" s="3">
        <v>100</v>
      </c>
      <c r="L348" s="3">
        <v>5</v>
      </c>
      <c r="M348" s="3" t="s">
        <v>453</v>
      </c>
    </row>
    <row r="349" spans="1:13" x14ac:dyDescent="0.3">
      <c r="A349" s="3">
        <v>348</v>
      </c>
      <c r="B349" s="3" t="s">
        <v>377</v>
      </c>
      <c r="C349" s="3" t="s">
        <v>70</v>
      </c>
      <c r="D349" s="3" t="s">
        <v>54</v>
      </c>
      <c r="E349" s="3">
        <v>580</v>
      </c>
      <c r="F349" s="3">
        <v>91</v>
      </c>
      <c r="G349" s="3">
        <v>90</v>
      </c>
      <c r="H349" s="3">
        <v>129</v>
      </c>
      <c r="I349" s="3">
        <v>90</v>
      </c>
      <c r="J349" s="3">
        <v>72</v>
      </c>
      <c r="K349" s="3">
        <v>108</v>
      </c>
      <c r="L349" s="3">
        <v>5</v>
      </c>
      <c r="M349" s="3" t="s">
        <v>451</v>
      </c>
    </row>
    <row r="350" spans="1:13" x14ac:dyDescent="0.3">
      <c r="A350" s="3">
        <v>349</v>
      </c>
      <c r="B350" s="3" t="s">
        <v>378</v>
      </c>
      <c r="C350" s="3" t="s">
        <v>61</v>
      </c>
      <c r="D350" s="3" t="s">
        <v>54</v>
      </c>
      <c r="E350" s="3">
        <v>580</v>
      </c>
      <c r="F350" s="3">
        <v>91</v>
      </c>
      <c r="G350" s="3">
        <v>129</v>
      </c>
      <c r="H350" s="3">
        <v>90</v>
      </c>
      <c r="I350" s="3">
        <v>72</v>
      </c>
      <c r="J350" s="3">
        <v>90</v>
      </c>
      <c r="K350" s="3">
        <v>108</v>
      </c>
      <c r="L350" s="3">
        <v>5</v>
      </c>
      <c r="M350" s="3" t="s">
        <v>451</v>
      </c>
    </row>
    <row r="351" spans="1:13" x14ac:dyDescent="0.3">
      <c r="A351" s="3">
        <v>350</v>
      </c>
      <c r="B351" s="3" t="s">
        <v>379</v>
      </c>
      <c r="C351" s="3" t="s">
        <v>13</v>
      </c>
      <c r="D351" s="3" t="s">
        <v>54</v>
      </c>
      <c r="E351" s="3">
        <v>580</v>
      </c>
      <c r="F351" s="3">
        <v>91</v>
      </c>
      <c r="G351" s="3">
        <v>90</v>
      </c>
      <c r="H351" s="3">
        <v>72</v>
      </c>
      <c r="I351" s="3">
        <v>90</v>
      </c>
      <c r="J351" s="3">
        <v>129</v>
      </c>
      <c r="K351" s="3">
        <v>108</v>
      </c>
      <c r="L351" s="3">
        <v>5</v>
      </c>
      <c r="M351" s="3" t="s">
        <v>451</v>
      </c>
    </row>
    <row r="352" spans="1:13" x14ac:dyDescent="0.3">
      <c r="A352" s="3">
        <v>351</v>
      </c>
      <c r="B352" s="3" t="s">
        <v>380</v>
      </c>
      <c r="C352" s="3" t="s">
        <v>69</v>
      </c>
      <c r="D352" s="3" t="s">
        <v>20</v>
      </c>
      <c r="E352" s="3">
        <v>580</v>
      </c>
      <c r="F352" s="3">
        <v>79</v>
      </c>
      <c r="G352" s="3">
        <v>115</v>
      </c>
      <c r="H352" s="3">
        <v>70</v>
      </c>
      <c r="I352" s="3">
        <v>125</v>
      </c>
      <c r="J352" s="3">
        <v>80</v>
      </c>
      <c r="K352" s="3">
        <v>111</v>
      </c>
      <c r="L352" s="3">
        <v>5</v>
      </c>
      <c r="M352" s="3" t="s">
        <v>451</v>
      </c>
    </row>
    <row r="353" spans="1:13" x14ac:dyDescent="0.3">
      <c r="A353" s="3">
        <v>352</v>
      </c>
      <c r="B353" s="3" t="s">
        <v>381</v>
      </c>
      <c r="C353" s="3" t="s">
        <v>69</v>
      </c>
      <c r="D353" s="3" t="s">
        <v>20</v>
      </c>
      <c r="E353" s="3">
        <v>580</v>
      </c>
      <c r="F353" s="3">
        <v>79</v>
      </c>
      <c r="G353" s="3">
        <v>105</v>
      </c>
      <c r="H353" s="3">
        <v>70</v>
      </c>
      <c r="I353" s="3">
        <v>145</v>
      </c>
      <c r="J353" s="3">
        <v>80</v>
      </c>
      <c r="K353" s="3">
        <v>101</v>
      </c>
      <c r="L353" s="3">
        <v>5</v>
      </c>
      <c r="M353" s="3" t="s">
        <v>451</v>
      </c>
    </row>
    <row r="354" spans="1:13" x14ac:dyDescent="0.3">
      <c r="A354" s="3">
        <v>353</v>
      </c>
      <c r="B354" s="3" t="s">
        <v>382</v>
      </c>
      <c r="C354" s="3" t="s">
        <v>22</v>
      </c>
      <c r="D354" s="3" t="s">
        <v>19</v>
      </c>
      <c r="E354" s="3">
        <v>680</v>
      </c>
      <c r="F354" s="3">
        <v>100</v>
      </c>
      <c r="G354" s="3">
        <v>120</v>
      </c>
      <c r="H354" s="3">
        <v>100</v>
      </c>
      <c r="I354" s="3">
        <v>150</v>
      </c>
      <c r="J354" s="3">
        <v>120</v>
      </c>
      <c r="K354" s="3">
        <v>90</v>
      </c>
      <c r="L354" s="3">
        <v>5</v>
      </c>
      <c r="M354" s="3" t="s">
        <v>451</v>
      </c>
    </row>
    <row r="355" spans="1:13" x14ac:dyDescent="0.3">
      <c r="A355" s="3">
        <v>354</v>
      </c>
      <c r="B355" s="3" t="s">
        <v>383</v>
      </c>
      <c r="C355" s="3" t="s">
        <v>22</v>
      </c>
      <c r="D355" s="3" t="s">
        <v>69</v>
      </c>
      <c r="E355" s="3">
        <v>680</v>
      </c>
      <c r="F355" s="3">
        <v>100</v>
      </c>
      <c r="G355" s="3">
        <v>150</v>
      </c>
      <c r="H355" s="3">
        <v>120</v>
      </c>
      <c r="I355" s="3">
        <v>120</v>
      </c>
      <c r="J355" s="3">
        <v>100</v>
      </c>
      <c r="K355" s="3">
        <v>90</v>
      </c>
      <c r="L355" s="3">
        <v>5</v>
      </c>
      <c r="M355" s="3" t="s">
        <v>451</v>
      </c>
    </row>
    <row r="356" spans="1:13" x14ac:dyDescent="0.3">
      <c r="A356" s="3">
        <v>355</v>
      </c>
      <c r="B356" s="3" t="s">
        <v>384</v>
      </c>
      <c r="C356" s="3" t="s">
        <v>38</v>
      </c>
      <c r="D356" s="3" t="s">
        <v>20</v>
      </c>
      <c r="E356" s="3">
        <v>600</v>
      </c>
      <c r="F356" s="3">
        <v>89</v>
      </c>
      <c r="G356" s="3">
        <v>125</v>
      </c>
      <c r="H356" s="3">
        <v>90</v>
      </c>
      <c r="I356" s="3">
        <v>115</v>
      </c>
      <c r="J356" s="3">
        <v>80</v>
      </c>
      <c r="K356" s="3">
        <v>101</v>
      </c>
      <c r="L356" s="3">
        <v>5</v>
      </c>
      <c r="M356" s="3" t="s">
        <v>451</v>
      </c>
    </row>
    <row r="357" spans="1:13" x14ac:dyDescent="0.3">
      <c r="A357" s="3">
        <v>356</v>
      </c>
      <c r="B357" s="3" t="s">
        <v>385</v>
      </c>
      <c r="C357" s="3" t="s">
        <v>38</v>
      </c>
      <c r="D357" s="3" t="s">
        <v>20</v>
      </c>
      <c r="E357" s="3">
        <v>600</v>
      </c>
      <c r="F357" s="3">
        <v>89</v>
      </c>
      <c r="G357" s="3">
        <v>145</v>
      </c>
      <c r="H357" s="3">
        <v>90</v>
      </c>
      <c r="I357" s="3">
        <v>105</v>
      </c>
      <c r="J357" s="3">
        <v>80</v>
      </c>
      <c r="K357" s="3">
        <v>91</v>
      </c>
      <c r="L357" s="3">
        <v>5</v>
      </c>
      <c r="M357" s="3" t="s">
        <v>451</v>
      </c>
    </row>
    <row r="358" spans="1:13" x14ac:dyDescent="0.3">
      <c r="A358" s="3">
        <v>357</v>
      </c>
      <c r="B358" s="3" t="s">
        <v>386</v>
      </c>
      <c r="C358" s="3" t="s">
        <v>22</v>
      </c>
      <c r="D358" s="3" t="s">
        <v>76</v>
      </c>
      <c r="E358" s="3">
        <v>660</v>
      </c>
      <c r="F358" s="3">
        <v>125</v>
      </c>
      <c r="G358" s="3">
        <v>130</v>
      </c>
      <c r="H358" s="3">
        <v>90</v>
      </c>
      <c r="I358" s="3">
        <v>130</v>
      </c>
      <c r="J358" s="3">
        <v>90</v>
      </c>
      <c r="K358" s="3">
        <v>95</v>
      </c>
      <c r="L358" s="3">
        <v>5</v>
      </c>
      <c r="M358" s="3" t="s">
        <v>451</v>
      </c>
    </row>
    <row r="359" spans="1:13" x14ac:dyDescent="0.3">
      <c r="A359" s="3">
        <v>358</v>
      </c>
      <c r="B359" s="3" t="s">
        <v>387</v>
      </c>
      <c r="C359" s="3" t="s">
        <v>22</v>
      </c>
      <c r="D359" s="3" t="s">
        <v>76</v>
      </c>
      <c r="E359" s="3">
        <v>700</v>
      </c>
      <c r="F359" s="3">
        <v>125</v>
      </c>
      <c r="G359" s="3">
        <v>170</v>
      </c>
      <c r="H359" s="3">
        <v>100</v>
      </c>
      <c r="I359" s="3">
        <v>120</v>
      </c>
      <c r="J359" s="3">
        <v>90</v>
      </c>
      <c r="K359" s="3">
        <v>95</v>
      </c>
      <c r="L359" s="3">
        <v>5</v>
      </c>
      <c r="M359" s="3" t="s">
        <v>451</v>
      </c>
    </row>
    <row r="360" spans="1:13" x14ac:dyDescent="0.3">
      <c r="A360" s="3">
        <v>359</v>
      </c>
      <c r="B360" s="3" t="s">
        <v>388</v>
      </c>
      <c r="C360" s="3" t="s">
        <v>22</v>
      </c>
      <c r="D360" s="3" t="s">
        <v>76</v>
      </c>
      <c r="E360" s="3">
        <v>700</v>
      </c>
      <c r="F360" s="3">
        <v>125</v>
      </c>
      <c r="G360" s="3">
        <v>120</v>
      </c>
      <c r="H360" s="3">
        <v>90</v>
      </c>
      <c r="I360" s="3">
        <v>170</v>
      </c>
      <c r="J360" s="3">
        <v>100</v>
      </c>
      <c r="K360" s="3">
        <v>95</v>
      </c>
      <c r="L360" s="3">
        <v>5</v>
      </c>
      <c r="M360" s="3" t="s">
        <v>451</v>
      </c>
    </row>
    <row r="361" spans="1:13" x14ac:dyDescent="0.3">
      <c r="A361" s="3">
        <v>360</v>
      </c>
      <c r="B361" s="3" t="s">
        <v>389</v>
      </c>
      <c r="C361" s="3" t="s">
        <v>53</v>
      </c>
      <c r="D361" s="3" t="s">
        <v>54</v>
      </c>
      <c r="E361" s="3">
        <v>580</v>
      </c>
      <c r="F361" s="3">
        <v>91</v>
      </c>
      <c r="G361" s="3">
        <v>72</v>
      </c>
      <c r="H361" s="3">
        <v>90</v>
      </c>
      <c r="I361" s="3">
        <v>129</v>
      </c>
      <c r="J361" s="3">
        <v>90</v>
      </c>
      <c r="K361" s="3">
        <v>108</v>
      </c>
      <c r="L361" s="3">
        <v>5</v>
      </c>
      <c r="M361" s="3" t="s">
        <v>453</v>
      </c>
    </row>
    <row r="362" spans="1:13" x14ac:dyDescent="0.3">
      <c r="A362" s="3">
        <v>361</v>
      </c>
      <c r="B362" s="3" t="s">
        <v>390</v>
      </c>
      <c r="C362" s="3" t="s">
        <v>53</v>
      </c>
      <c r="D362" s="3" t="s">
        <v>54</v>
      </c>
      <c r="E362" s="3">
        <v>580</v>
      </c>
      <c r="F362" s="3">
        <v>91</v>
      </c>
      <c r="G362" s="3">
        <v>72</v>
      </c>
      <c r="H362" s="3">
        <v>90</v>
      </c>
      <c r="I362" s="3">
        <v>129</v>
      </c>
      <c r="J362" s="3">
        <v>90</v>
      </c>
      <c r="K362" s="3">
        <v>108</v>
      </c>
      <c r="L362" s="3">
        <v>5</v>
      </c>
      <c r="M362" s="3" t="s">
        <v>453</v>
      </c>
    </row>
    <row r="363" spans="1:13" x14ac:dyDescent="0.3">
      <c r="A363" s="3">
        <v>362</v>
      </c>
      <c r="B363" s="3" t="s">
        <v>391</v>
      </c>
      <c r="C363" s="3" t="s">
        <v>31</v>
      </c>
      <c r="D363" s="3" t="s">
        <v>65</v>
      </c>
      <c r="E363" s="3">
        <v>600</v>
      </c>
      <c r="F363" s="3">
        <v>100</v>
      </c>
      <c r="G363" s="3">
        <v>77</v>
      </c>
      <c r="H363" s="3">
        <v>77</v>
      </c>
      <c r="I363" s="3">
        <v>128</v>
      </c>
      <c r="J363" s="3">
        <v>128</v>
      </c>
      <c r="K363" s="3">
        <v>90</v>
      </c>
      <c r="L363" s="3">
        <v>5</v>
      </c>
      <c r="M363" s="3" t="s">
        <v>453</v>
      </c>
    </row>
    <row r="364" spans="1:13" x14ac:dyDescent="0.3">
      <c r="A364" s="3">
        <v>363</v>
      </c>
      <c r="B364" s="3" t="s">
        <v>392</v>
      </c>
      <c r="C364" s="3" t="s">
        <v>31</v>
      </c>
      <c r="D364" s="3" t="s">
        <v>54</v>
      </c>
      <c r="E364" s="3">
        <v>600</v>
      </c>
      <c r="F364" s="3">
        <v>100</v>
      </c>
      <c r="G364" s="3">
        <v>128</v>
      </c>
      <c r="H364" s="3">
        <v>90</v>
      </c>
      <c r="I364" s="3">
        <v>77</v>
      </c>
      <c r="J364" s="3">
        <v>77</v>
      </c>
      <c r="K364" s="3">
        <v>128</v>
      </c>
      <c r="L364" s="3">
        <v>5</v>
      </c>
      <c r="M364" s="3" t="s">
        <v>453</v>
      </c>
    </row>
    <row r="365" spans="1:13" x14ac:dyDescent="0.3">
      <c r="A365" s="3">
        <v>364</v>
      </c>
      <c r="B365" s="3" t="s">
        <v>393</v>
      </c>
      <c r="C365" s="3" t="s">
        <v>25</v>
      </c>
      <c r="D365" s="3" t="s">
        <v>70</v>
      </c>
      <c r="E365" s="3">
        <v>600</v>
      </c>
      <c r="F365" s="3">
        <v>71</v>
      </c>
      <c r="G365" s="3">
        <v>120</v>
      </c>
      <c r="H365" s="3">
        <v>95</v>
      </c>
      <c r="I365" s="3">
        <v>120</v>
      </c>
      <c r="J365" s="3">
        <v>95</v>
      </c>
      <c r="K365" s="3">
        <v>99</v>
      </c>
      <c r="L365" s="3">
        <v>5</v>
      </c>
      <c r="M365" s="3" t="s">
        <v>453</v>
      </c>
    </row>
    <row r="366" spans="1:13" x14ac:dyDescent="0.3">
      <c r="A366" s="3">
        <v>365</v>
      </c>
      <c r="B366" s="3" t="s">
        <v>394</v>
      </c>
      <c r="C366" s="3" t="s">
        <v>13</v>
      </c>
      <c r="D366" s="3" t="s">
        <v>54</v>
      </c>
      <c r="E366" s="3">
        <v>530</v>
      </c>
      <c r="F366" s="3">
        <v>88</v>
      </c>
      <c r="G366" s="3">
        <v>107</v>
      </c>
      <c r="H366" s="3">
        <v>122</v>
      </c>
      <c r="I366" s="3">
        <v>74</v>
      </c>
      <c r="J366" s="3">
        <v>75</v>
      </c>
      <c r="K366" s="3">
        <v>64</v>
      </c>
      <c r="L366" s="3">
        <v>6</v>
      </c>
      <c r="M366" s="3" t="s">
        <v>453</v>
      </c>
    </row>
    <row r="367" spans="1:13" x14ac:dyDescent="0.3">
      <c r="A367" s="3">
        <v>366</v>
      </c>
      <c r="B367" s="3" t="s">
        <v>395</v>
      </c>
      <c r="C367" s="3" t="s">
        <v>19</v>
      </c>
      <c r="D367" s="3" t="s">
        <v>65</v>
      </c>
      <c r="E367" s="3">
        <v>534</v>
      </c>
      <c r="F367" s="3">
        <v>75</v>
      </c>
      <c r="G367" s="3">
        <v>69</v>
      </c>
      <c r="H367" s="3">
        <v>72</v>
      </c>
      <c r="I367" s="3">
        <v>114</v>
      </c>
      <c r="J367" s="3">
        <v>100</v>
      </c>
      <c r="K367" s="3">
        <v>104</v>
      </c>
      <c r="L367" s="3">
        <v>6</v>
      </c>
      <c r="M367" s="3" t="s">
        <v>453</v>
      </c>
    </row>
    <row r="368" spans="1:13" x14ac:dyDescent="0.3">
      <c r="A368" s="3">
        <v>367</v>
      </c>
      <c r="B368" s="3" t="s">
        <v>396</v>
      </c>
      <c r="C368" s="3" t="s">
        <v>53</v>
      </c>
      <c r="D368" s="3" t="s">
        <v>95</v>
      </c>
      <c r="E368" s="3">
        <v>530</v>
      </c>
      <c r="F368" s="3">
        <v>72</v>
      </c>
      <c r="G368" s="3">
        <v>95</v>
      </c>
      <c r="H368" s="3">
        <v>67</v>
      </c>
      <c r="I368" s="3">
        <v>103</v>
      </c>
      <c r="J368" s="3">
        <v>71</v>
      </c>
      <c r="K368" s="3">
        <v>122</v>
      </c>
      <c r="L368" s="3">
        <v>6</v>
      </c>
      <c r="M368" s="3" t="s">
        <v>453</v>
      </c>
    </row>
    <row r="369" spans="1:13" x14ac:dyDescent="0.3">
      <c r="A369" s="3">
        <v>368</v>
      </c>
      <c r="B369" s="3" t="s">
        <v>397</v>
      </c>
      <c r="C369" s="3" t="s">
        <v>31</v>
      </c>
      <c r="D369" s="3" t="s">
        <v>38</v>
      </c>
      <c r="E369" s="3">
        <v>423</v>
      </c>
      <c r="F369" s="3">
        <v>85</v>
      </c>
      <c r="G369" s="3">
        <v>56</v>
      </c>
      <c r="H369" s="3">
        <v>77</v>
      </c>
      <c r="I369" s="3">
        <v>50</v>
      </c>
      <c r="J369" s="3">
        <v>77</v>
      </c>
      <c r="K369" s="3">
        <v>78</v>
      </c>
      <c r="L369" s="3">
        <v>6</v>
      </c>
      <c r="M369" s="3" t="s">
        <v>453</v>
      </c>
    </row>
    <row r="370" spans="1:13" x14ac:dyDescent="0.3">
      <c r="A370" s="3">
        <v>369</v>
      </c>
      <c r="B370" s="3" t="s">
        <v>398</v>
      </c>
      <c r="C370" s="3" t="s">
        <v>31</v>
      </c>
      <c r="D370" s="3" t="s">
        <v>20</v>
      </c>
      <c r="E370" s="3">
        <v>278</v>
      </c>
      <c r="F370" s="3">
        <v>45</v>
      </c>
      <c r="G370" s="3">
        <v>50</v>
      </c>
      <c r="H370" s="3">
        <v>43</v>
      </c>
      <c r="I370" s="3">
        <v>40</v>
      </c>
      <c r="J370" s="3">
        <v>38</v>
      </c>
      <c r="K370" s="3">
        <v>62</v>
      </c>
      <c r="L370" s="3">
        <v>6</v>
      </c>
      <c r="M370" s="3" t="s">
        <v>453</v>
      </c>
    </row>
    <row r="371" spans="1:13" x14ac:dyDescent="0.3">
      <c r="A371" s="3">
        <v>370</v>
      </c>
      <c r="B371" s="3" t="s">
        <v>399</v>
      </c>
      <c r="C371" s="3" t="s">
        <v>19</v>
      </c>
      <c r="D371" s="3" t="s">
        <v>20</v>
      </c>
      <c r="E371" s="3">
        <v>382</v>
      </c>
      <c r="F371" s="3">
        <v>62</v>
      </c>
      <c r="G371" s="3">
        <v>73</v>
      </c>
      <c r="H371" s="3">
        <v>55</v>
      </c>
      <c r="I371" s="3">
        <v>56</v>
      </c>
      <c r="J371" s="3">
        <v>52</v>
      </c>
      <c r="K371" s="3">
        <v>84</v>
      </c>
      <c r="L371" s="3">
        <v>6</v>
      </c>
      <c r="M371" s="3" t="s">
        <v>453</v>
      </c>
    </row>
    <row r="372" spans="1:13" x14ac:dyDescent="0.3">
      <c r="A372" s="3">
        <v>371</v>
      </c>
      <c r="B372" s="3" t="s">
        <v>400</v>
      </c>
      <c r="C372" s="3" t="s">
        <v>19</v>
      </c>
      <c r="D372" s="3" t="s">
        <v>20</v>
      </c>
      <c r="E372" s="3">
        <v>499</v>
      </c>
      <c r="F372" s="3">
        <v>78</v>
      </c>
      <c r="G372" s="3">
        <v>81</v>
      </c>
      <c r="H372" s="3">
        <v>71</v>
      </c>
      <c r="I372" s="3">
        <v>74</v>
      </c>
      <c r="J372" s="3">
        <v>69</v>
      </c>
      <c r="K372" s="3">
        <v>126</v>
      </c>
      <c r="L372" s="3">
        <v>6</v>
      </c>
      <c r="M372" s="3" t="s">
        <v>453</v>
      </c>
    </row>
    <row r="373" spans="1:13" x14ac:dyDescent="0.3">
      <c r="A373" s="3">
        <v>372</v>
      </c>
      <c r="B373" s="3" t="s">
        <v>401</v>
      </c>
      <c r="C373" s="3" t="s">
        <v>25</v>
      </c>
      <c r="D373" s="3" t="s">
        <v>20</v>
      </c>
      <c r="E373" s="3">
        <v>411</v>
      </c>
      <c r="F373" s="3">
        <v>80</v>
      </c>
      <c r="G373" s="3">
        <v>52</v>
      </c>
      <c r="H373" s="3">
        <v>50</v>
      </c>
      <c r="I373" s="3">
        <v>90</v>
      </c>
      <c r="J373" s="3">
        <v>50</v>
      </c>
      <c r="K373" s="3">
        <v>89</v>
      </c>
      <c r="L373" s="3">
        <v>6</v>
      </c>
      <c r="M373" s="3" t="s">
        <v>453</v>
      </c>
    </row>
    <row r="374" spans="1:13" x14ac:dyDescent="0.3">
      <c r="A374" s="3">
        <v>373</v>
      </c>
      <c r="B374" s="3" t="s">
        <v>402</v>
      </c>
      <c r="C374" s="3" t="s">
        <v>19</v>
      </c>
      <c r="D374" s="3" t="s">
        <v>31</v>
      </c>
      <c r="E374" s="3">
        <v>369</v>
      </c>
      <c r="F374" s="3">
        <v>62</v>
      </c>
      <c r="G374" s="3">
        <v>50</v>
      </c>
      <c r="H374" s="3">
        <v>58</v>
      </c>
      <c r="I374" s="3">
        <v>73</v>
      </c>
      <c r="J374" s="3">
        <v>54</v>
      </c>
      <c r="K374" s="3">
        <v>72</v>
      </c>
      <c r="L374" s="3">
        <v>6</v>
      </c>
      <c r="M374" s="3" t="s">
        <v>453</v>
      </c>
    </row>
    <row r="375" spans="1:13" x14ac:dyDescent="0.3">
      <c r="A375" s="3">
        <v>374</v>
      </c>
      <c r="B375" s="3" t="s">
        <v>403</v>
      </c>
      <c r="C375" s="3" t="s">
        <v>19</v>
      </c>
      <c r="D375" s="3" t="s">
        <v>31</v>
      </c>
      <c r="E375" s="3">
        <v>507</v>
      </c>
      <c r="F375" s="3">
        <v>86</v>
      </c>
      <c r="G375" s="3">
        <v>68</v>
      </c>
      <c r="H375" s="3">
        <v>72</v>
      </c>
      <c r="I375" s="3">
        <v>109</v>
      </c>
      <c r="J375" s="3">
        <v>66</v>
      </c>
      <c r="K375" s="3">
        <v>106</v>
      </c>
      <c r="L375" s="3">
        <v>6</v>
      </c>
      <c r="M375" s="3" t="s">
        <v>453</v>
      </c>
    </row>
    <row r="376" spans="1:13" x14ac:dyDescent="0.3">
      <c r="A376" s="3">
        <v>375</v>
      </c>
      <c r="B376" s="3" t="s">
        <v>404</v>
      </c>
      <c r="C376" s="3" t="s">
        <v>54</v>
      </c>
      <c r="D376" s="3" t="s">
        <v>95</v>
      </c>
      <c r="E376" s="3">
        <v>495</v>
      </c>
      <c r="F376" s="3">
        <v>95</v>
      </c>
      <c r="G376" s="3">
        <v>124</v>
      </c>
      <c r="H376" s="3">
        <v>78</v>
      </c>
      <c r="I376" s="3">
        <v>69</v>
      </c>
      <c r="J376" s="3">
        <v>71</v>
      </c>
      <c r="K376" s="3">
        <v>58</v>
      </c>
      <c r="L376" s="3">
        <v>6</v>
      </c>
      <c r="M376" s="3" t="s">
        <v>453</v>
      </c>
    </row>
    <row r="377" spans="1:13" x14ac:dyDescent="0.3">
      <c r="A377" s="3">
        <v>376</v>
      </c>
      <c r="B377" s="3" t="s">
        <v>405</v>
      </c>
      <c r="C377" s="3" t="s">
        <v>70</v>
      </c>
      <c r="D377" s="3" t="s">
        <v>79</v>
      </c>
      <c r="E377" s="3">
        <v>325</v>
      </c>
      <c r="F377" s="3">
        <v>45</v>
      </c>
      <c r="G377" s="3">
        <v>80</v>
      </c>
      <c r="H377" s="3">
        <v>100</v>
      </c>
      <c r="I377" s="3">
        <v>35</v>
      </c>
      <c r="J377" s="3">
        <v>37</v>
      </c>
      <c r="K377" s="3">
        <v>28</v>
      </c>
      <c r="L377" s="3">
        <v>6</v>
      </c>
      <c r="M377" s="3" t="s">
        <v>453</v>
      </c>
    </row>
    <row r="378" spans="1:13" x14ac:dyDescent="0.3">
      <c r="A378" s="3">
        <v>377</v>
      </c>
      <c r="B378" s="3" t="s">
        <v>406</v>
      </c>
      <c r="C378" s="3" t="s">
        <v>70</v>
      </c>
      <c r="D378" s="3" t="s">
        <v>79</v>
      </c>
      <c r="E378" s="3">
        <v>448</v>
      </c>
      <c r="F378" s="3">
        <v>59</v>
      </c>
      <c r="G378" s="3">
        <v>110</v>
      </c>
      <c r="H378" s="3">
        <v>150</v>
      </c>
      <c r="I378" s="3">
        <v>45</v>
      </c>
      <c r="J378" s="3">
        <v>49</v>
      </c>
      <c r="K378" s="3">
        <v>35</v>
      </c>
      <c r="L378" s="3">
        <v>6</v>
      </c>
      <c r="M378" s="3" t="s">
        <v>453</v>
      </c>
    </row>
    <row r="379" spans="1:13" x14ac:dyDescent="0.3">
      <c r="A379" s="3">
        <v>378</v>
      </c>
      <c r="B379" s="3" t="s">
        <v>407</v>
      </c>
      <c r="C379" s="3" t="s">
        <v>70</v>
      </c>
      <c r="D379" s="3" t="s">
        <v>79</v>
      </c>
      <c r="E379" s="3">
        <v>520</v>
      </c>
      <c r="F379" s="3">
        <v>60</v>
      </c>
      <c r="G379" s="3">
        <v>150</v>
      </c>
      <c r="H379" s="3">
        <v>50</v>
      </c>
      <c r="I379" s="3">
        <v>150</v>
      </c>
      <c r="J379" s="3">
        <v>50</v>
      </c>
      <c r="K379" s="3">
        <v>60</v>
      </c>
      <c r="L379" s="3">
        <v>6</v>
      </c>
      <c r="M379" s="3" t="s">
        <v>453</v>
      </c>
    </row>
    <row r="380" spans="1:13" x14ac:dyDescent="0.3">
      <c r="A380" s="3">
        <v>379</v>
      </c>
      <c r="B380" s="3" t="s">
        <v>408</v>
      </c>
      <c r="C380" s="3" t="s">
        <v>70</v>
      </c>
      <c r="D380" s="3" t="s">
        <v>79</v>
      </c>
      <c r="E380" s="3">
        <v>520</v>
      </c>
      <c r="F380" s="3">
        <v>60</v>
      </c>
      <c r="G380" s="3">
        <v>50</v>
      </c>
      <c r="H380" s="3">
        <v>150</v>
      </c>
      <c r="I380" s="3">
        <v>50</v>
      </c>
      <c r="J380" s="3">
        <v>150</v>
      </c>
      <c r="K380" s="3">
        <v>60</v>
      </c>
      <c r="L380" s="3">
        <v>6</v>
      </c>
      <c r="M380" s="3" t="s">
        <v>453</v>
      </c>
    </row>
    <row r="381" spans="1:13" x14ac:dyDescent="0.3">
      <c r="A381" s="3">
        <v>380</v>
      </c>
      <c r="B381" s="3" t="s">
        <v>409</v>
      </c>
      <c r="C381" s="3" t="s">
        <v>95</v>
      </c>
      <c r="D381" s="3" t="s">
        <v>65</v>
      </c>
      <c r="E381" s="3">
        <v>288</v>
      </c>
      <c r="F381" s="3">
        <v>53</v>
      </c>
      <c r="G381" s="3">
        <v>54</v>
      </c>
      <c r="H381" s="3">
        <v>53</v>
      </c>
      <c r="I381" s="3">
        <v>37</v>
      </c>
      <c r="J381" s="3">
        <v>46</v>
      </c>
      <c r="K381" s="3">
        <v>45</v>
      </c>
      <c r="L381" s="3">
        <v>6</v>
      </c>
      <c r="M381" s="3" t="s">
        <v>453</v>
      </c>
    </row>
    <row r="382" spans="1:13" x14ac:dyDescent="0.3">
      <c r="A382" s="3">
        <v>381</v>
      </c>
      <c r="B382" s="3" t="s">
        <v>410</v>
      </c>
      <c r="C382" s="3" t="s">
        <v>95</v>
      </c>
      <c r="D382" s="3" t="s">
        <v>65</v>
      </c>
      <c r="E382" s="3">
        <v>482</v>
      </c>
      <c r="F382" s="3">
        <v>86</v>
      </c>
      <c r="G382" s="3">
        <v>92</v>
      </c>
      <c r="H382" s="3">
        <v>88</v>
      </c>
      <c r="I382" s="3">
        <v>68</v>
      </c>
      <c r="J382" s="3">
        <v>75</v>
      </c>
      <c r="K382" s="3">
        <v>73</v>
      </c>
      <c r="L382" s="3">
        <v>6</v>
      </c>
      <c r="M382" s="3" t="s">
        <v>453</v>
      </c>
    </row>
    <row r="383" spans="1:13" x14ac:dyDescent="0.3">
      <c r="A383" s="3">
        <v>382</v>
      </c>
      <c r="B383" s="3" t="s">
        <v>411</v>
      </c>
      <c r="C383" s="3" t="s">
        <v>61</v>
      </c>
      <c r="D383" s="3" t="s">
        <v>53</v>
      </c>
      <c r="E383" s="3">
        <v>306</v>
      </c>
      <c r="F383" s="3">
        <v>42</v>
      </c>
      <c r="G383" s="3">
        <v>52</v>
      </c>
      <c r="H383" s="3">
        <v>67</v>
      </c>
      <c r="I383" s="3">
        <v>39</v>
      </c>
      <c r="J383" s="3">
        <v>56</v>
      </c>
      <c r="K383" s="3">
        <v>50</v>
      </c>
      <c r="L383" s="3">
        <v>6</v>
      </c>
      <c r="M383" s="3" t="s">
        <v>453</v>
      </c>
    </row>
    <row r="384" spans="1:13" x14ac:dyDescent="0.3">
      <c r="A384" s="3">
        <v>383</v>
      </c>
      <c r="B384" s="3" t="s">
        <v>412</v>
      </c>
      <c r="C384" s="3" t="s">
        <v>61</v>
      </c>
      <c r="D384" s="3" t="s">
        <v>53</v>
      </c>
      <c r="E384" s="3">
        <v>500</v>
      </c>
      <c r="F384" s="3">
        <v>72</v>
      </c>
      <c r="G384" s="3">
        <v>105</v>
      </c>
      <c r="H384" s="3">
        <v>115</v>
      </c>
      <c r="I384" s="3">
        <v>54</v>
      </c>
      <c r="J384" s="3">
        <v>86</v>
      </c>
      <c r="K384" s="3">
        <v>68</v>
      </c>
      <c r="L384" s="3">
        <v>6</v>
      </c>
      <c r="M384" s="3" t="s">
        <v>453</v>
      </c>
    </row>
    <row r="385" spans="1:13" x14ac:dyDescent="0.3">
      <c r="A385" s="3">
        <v>384</v>
      </c>
      <c r="B385" s="3" t="s">
        <v>413</v>
      </c>
      <c r="C385" s="3" t="s">
        <v>14</v>
      </c>
      <c r="D385" s="3" t="s">
        <v>53</v>
      </c>
      <c r="E385" s="3">
        <v>320</v>
      </c>
      <c r="F385" s="3">
        <v>50</v>
      </c>
      <c r="G385" s="3">
        <v>60</v>
      </c>
      <c r="H385" s="3">
        <v>60</v>
      </c>
      <c r="I385" s="3">
        <v>60</v>
      </c>
      <c r="J385" s="3">
        <v>60</v>
      </c>
      <c r="K385" s="3">
        <v>30</v>
      </c>
      <c r="L385" s="3">
        <v>6</v>
      </c>
      <c r="M385" s="3" t="s">
        <v>453</v>
      </c>
    </row>
    <row r="386" spans="1:13" x14ac:dyDescent="0.3">
      <c r="A386" s="3">
        <v>385</v>
      </c>
      <c r="B386" s="3" t="s">
        <v>414</v>
      </c>
      <c r="C386" s="3" t="s">
        <v>14</v>
      </c>
      <c r="D386" s="3" t="s">
        <v>22</v>
      </c>
      <c r="E386" s="3">
        <v>494</v>
      </c>
      <c r="F386" s="3">
        <v>65</v>
      </c>
      <c r="G386" s="3">
        <v>75</v>
      </c>
      <c r="H386" s="3">
        <v>90</v>
      </c>
      <c r="I386" s="3">
        <v>97</v>
      </c>
      <c r="J386" s="3">
        <v>123</v>
      </c>
      <c r="K386" s="3">
        <v>44</v>
      </c>
      <c r="L386" s="3">
        <v>6</v>
      </c>
      <c r="M386" s="3" t="s">
        <v>453</v>
      </c>
    </row>
    <row r="387" spans="1:13" x14ac:dyDescent="0.3">
      <c r="A387" s="3">
        <v>386</v>
      </c>
      <c r="B387" s="3" t="s">
        <v>415</v>
      </c>
      <c r="C387" s="3" t="s">
        <v>69</v>
      </c>
      <c r="D387" s="3" t="s">
        <v>31</v>
      </c>
      <c r="E387" s="3">
        <v>289</v>
      </c>
      <c r="F387" s="3">
        <v>44</v>
      </c>
      <c r="G387" s="3">
        <v>38</v>
      </c>
      <c r="H387" s="3">
        <v>33</v>
      </c>
      <c r="I387" s="3">
        <v>61</v>
      </c>
      <c r="J387" s="3">
        <v>43</v>
      </c>
      <c r="K387" s="3">
        <v>70</v>
      </c>
      <c r="L387" s="3">
        <v>6</v>
      </c>
      <c r="M387" s="3" t="s">
        <v>453</v>
      </c>
    </row>
    <row r="388" spans="1:13" x14ac:dyDescent="0.3">
      <c r="A388" s="3">
        <v>387</v>
      </c>
      <c r="B388" s="3" t="s">
        <v>416</v>
      </c>
      <c r="C388" s="3" t="s">
        <v>69</v>
      </c>
      <c r="D388" s="3" t="s">
        <v>31</v>
      </c>
      <c r="E388" s="3">
        <v>481</v>
      </c>
      <c r="F388" s="3">
        <v>62</v>
      </c>
      <c r="G388" s="3">
        <v>55</v>
      </c>
      <c r="H388" s="3">
        <v>52</v>
      </c>
      <c r="I388" s="3">
        <v>109</v>
      </c>
      <c r="J388" s="3">
        <v>94</v>
      </c>
      <c r="K388" s="3">
        <v>109</v>
      </c>
      <c r="L388" s="3">
        <v>6</v>
      </c>
      <c r="M388" s="3" t="s">
        <v>453</v>
      </c>
    </row>
    <row r="389" spans="1:13" x14ac:dyDescent="0.3">
      <c r="A389" s="3">
        <v>388</v>
      </c>
      <c r="B389" s="3" t="s">
        <v>417</v>
      </c>
      <c r="C389" s="3" t="s">
        <v>61</v>
      </c>
      <c r="D389" s="3" t="s">
        <v>22</v>
      </c>
      <c r="E389" s="3">
        <v>362</v>
      </c>
      <c r="F389" s="3">
        <v>58</v>
      </c>
      <c r="G389" s="3">
        <v>89</v>
      </c>
      <c r="H389" s="3">
        <v>77</v>
      </c>
      <c r="I389" s="3">
        <v>45</v>
      </c>
      <c r="J389" s="3">
        <v>45</v>
      </c>
      <c r="K389" s="3">
        <v>48</v>
      </c>
      <c r="L389" s="3">
        <v>6</v>
      </c>
      <c r="M389" s="3" t="s">
        <v>453</v>
      </c>
    </row>
    <row r="390" spans="1:13" x14ac:dyDescent="0.3">
      <c r="A390" s="3">
        <v>389</v>
      </c>
      <c r="B390" s="3" t="s">
        <v>418</v>
      </c>
      <c r="C390" s="3" t="s">
        <v>61</v>
      </c>
      <c r="D390" s="3" t="s">
        <v>22</v>
      </c>
      <c r="E390" s="3">
        <v>521</v>
      </c>
      <c r="F390" s="3">
        <v>82</v>
      </c>
      <c r="G390" s="3">
        <v>121</v>
      </c>
      <c r="H390" s="3">
        <v>119</v>
      </c>
      <c r="I390" s="3">
        <v>69</v>
      </c>
      <c r="J390" s="3">
        <v>59</v>
      </c>
      <c r="K390" s="3">
        <v>71</v>
      </c>
      <c r="L390" s="3">
        <v>6</v>
      </c>
      <c r="M390" s="3" t="s">
        <v>453</v>
      </c>
    </row>
    <row r="391" spans="1:13" x14ac:dyDescent="0.3">
      <c r="A391" s="3">
        <v>390</v>
      </c>
      <c r="B391" s="3" t="s">
        <v>419</v>
      </c>
      <c r="C391" s="3" t="s">
        <v>61</v>
      </c>
      <c r="D391" s="3" t="s">
        <v>76</v>
      </c>
      <c r="E391" s="3">
        <v>362</v>
      </c>
      <c r="F391" s="3">
        <v>77</v>
      </c>
      <c r="G391" s="3">
        <v>59</v>
      </c>
      <c r="H391" s="3">
        <v>50</v>
      </c>
      <c r="I391" s="3">
        <v>67</v>
      </c>
      <c r="J391" s="3">
        <v>63</v>
      </c>
      <c r="K391" s="3">
        <v>46</v>
      </c>
      <c r="L391" s="3">
        <v>6</v>
      </c>
      <c r="M391" s="3" t="s">
        <v>453</v>
      </c>
    </row>
    <row r="392" spans="1:13" x14ac:dyDescent="0.3">
      <c r="A392" s="3">
        <v>391</v>
      </c>
      <c r="B392" s="3" t="s">
        <v>420</v>
      </c>
      <c r="C392" s="3" t="s">
        <v>61</v>
      </c>
      <c r="D392" s="3" t="s">
        <v>76</v>
      </c>
      <c r="E392" s="3">
        <v>521</v>
      </c>
      <c r="F392" s="3">
        <v>123</v>
      </c>
      <c r="G392" s="3">
        <v>77</v>
      </c>
      <c r="H392" s="3">
        <v>72</v>
      </c>
      <c r="I392" s="3">
        <v>99</v>
      </c>
      <c r="J392" s="3">
        <v>92</v>
      </c>
      <c r="K392" s="3">
        <v>58</v>
      </c>
      <c r="L392" s="3">
        <v>6</v>
      </c>
      <c r="M392" s="3" t="s">
        <v>453</v>
      </c>
    </row>
    <row r="393" spans="1:13" x14ac:dyDescent="0.3">
      <c r="A393" s="3">
        <v>392</v>
      </c>
      <c r="B393" s="3" t="s">
        <v>421</v>
      </c>
      <c r="C393" s="3" t="s">
        <v>54</v>
      </c>
      <c r="D393" s="3" t="s">
        <v>20</v>
      </c>
      <c r="E393" s="3">
        <v>500</v>
      </c>
      <c r="F393" s="3">
        <v>78</v>
      </c>
      <c r="G393" s="3">
        <v>92</v>
      </c>
      <c r="H393" s="3">
        <v>75</v>
      </c>
      <c r="I393" s="3">
        <v>74</v>
      </c>
      <c r="J393" s="3">
        <v>63</v>
      </c>
      <c r="K393" s="3">
        <v>118</v>
      </c>
      <c r="L393" s="3">
        <v>6</v>
      </c>
      <c r="M393" s="3" t="s">
        <v>453</v>
      </c>
    </row>
    <row r="394" spans="1:13" x14ac:dyDescent="0.3">
      <c r="A394" s="3">
        <v>393</v>
      </c>
      <c r="B394" s="3" t="s">
        <v>422</v>
      </c>
      <c r="C394" s="3" t="s">
        <v>69</v>
      </c>
      <c r="D394" s="3" t="s">
        <v>41</v>
      </c>
      <c r="E394" s="3">
        <v>431</v>
      </c>
      <c r="F394" s="3">
        <v>67</v>
      </c>
      <c r="G394" s="3">
        <v>58</v>
      </c>
      <c r="H394" s="3">
        <v>57</v>
      </c>
      <c r="I394" s="3">
        <v>81</v>
      </c>
      <c r="J394" s="3">
        <v>67</v>
      </c>
      <c r="K394" s="3">
        <v>101</v>
      </c>
      <c r="L394" s="3">
        <v>6</v>
      </c>
      <c r="M394" s="3" t="s">
        <v>453</v>
      </c>
    </row>
    <row r="395" spans="1:13" x14ac:dyDescent="0.3">
      <c r="A395" s="3">
        <v>394</v>
      </c>
      <c r="B395" s="3" t="s">
        <v>423</v>
      </c>
      <c r="C395" s="3" t="s">
        <v>61</v>
      </c>
      <c r="D395" s="3" t="s">
        <v>41</v>
      </c>
      <c r="E395" s="3">
        <v>500</v>
      </c>
      <c r="F395" s="3">
        <v>50</v>
      </c>
      <c r="G395" s="3">
        <v>50</v>
      </c>
      <c r="H395" s="3">
        <v>150</v>
      </c>
      <c r="I395" s="3">
        <v>50</v>
      </c>
      <c r="J395" s="3">
        <v>150</v>
      </c>
      <c r="K395" s="3">
        <v>50</v>
      </c>
      <c r="L395" s="3">
        <v>6</v>
      </c>
      <c r="M395" s="3" t="s">
        <v>453</v>
      </c>
    </row>
    <row r="396" spans="1:13" x14ac:dyDescent="0.3">
      <c r="A396" s="3">
        <v>395</v>
      </c>
      <c r="B396" s="3" t="s">
        <v>424</v>
      </c>
      <c r="C396" s="3" t="s">
        <v>70</v>
      </c>
      <c r="D396" s="3" t="s">
        <v>41</v>
      </c>
      <c r="E396" s="3">
        <v>470</v>
      </c>
      <c r="F396" s="3">
        <v>57</v>
      </c>
      <c r="G396" s="3">
        <v>80</v>
      </c>
      <c r="H396" s="3">
        <v>91</v>
      </c>
      <c r="I396" s="3">
        <v>80</v>
      </c>
      <c r="J396" s="3">
        <v>87</v>
      </c>
      <c r="K396" s="3">
        <v>75</v>
      </c>
      <c r="L396" s="3">
        <v>6</v>
      </c>
      <c r="M396" s="3" t="s">
        <v>453</v>
      </c>
    </row>
    <row r="397" spans="1:13" x14ac:dyDescent="0.3">
      <c r="A397" s="3">
        <v>396</v>
      </c>
      <c r="B397" s="3" t="s">
        <v>425</v>
      </c>
      <c r="C397" s="3" t="s">
        <v>79</v>
      </c>
      <c r="D397" s="3" t="s">
        <v>13</v>
      </c>
      <c r="E397" s="3">
        <v>309</v>
      </c>
      <c r="F397" s="3">
        <v>43</v>
      </c>
      <c r="G397" s="3">
        <v>70</v>
      </c>
      <c r="H397" s="3">
        <v>48</v>
      </c>
      <c r="I397" s="3">
        <v>50</v>
      </c>
      <c r="J397" s="3">
        <v>60</v>
      </c>
      <c r="K397" s="3">
        <v>38</v>
      </c>
      <c r="L397" s="3">
        <v>6</v>
      </c>
      <c r="M397" s="3" t="s">
        <v>453</v>
      </c>
    </row>
    <row r="398" spans="1:13" x14ac:dyDescent="0.3">
      <c r="A398" s="3">
        <v>397</v>
      </c>
      <c r="B398" s="3" t="s">
        <v>426</v>
      </c>
      <c r="C398" s="3" t="s">
        <v>79</v>
      </c>
      <c r="D398" s="3" t="s">
        <v>13</v>
      </c>
      <c r="E398" s="3">
        <v>474</v>
      </c>
      <c r="F398" s="3">
        <v>85</v>
      </c>
      <c r="G398" s="3">
        <v>110</v>
      </c>
      <c r="H398" s="3">
        <v>76</v>
      </c>
      <c r="I398" s="3">
        <v>65</v>
      </c>
      <c r="J398" s="3">
        <v>82</v>
      </c>
      <c r="K398" s="3">
        <v>56</v>
      </c>
      <c r="L398" s="3">
        <v>6</v>
      </c>
      <c r="M398" s="3" t="s">
        <v>453</v>
      </c>
    </row>
    <row r="399" spans="1:13" x14ac:dyDescent="0.3">
      <c r="A399" s="3">
        <v>398</v>
      </c>
      <c r="B399" s="3" t="s">
        <v>427</v>
      </c>
      <c r="C399" s="3" t="s">
        <v>79</v>
      </c>
      <c r="D399" s="3" t="s">
        <v>13</v>
      </c>
      <c r="E399" s="3">
        <v>335</v>
      </c>
      <c r="F399" s="3">
        <v>49</v>
      </c>
      <c r="G399" s="3">
        <v>66</v>
      </c>
      <c r="H399" s="3">
        <v>70</v>
      </c>
      <c r="I399" s="3">
        <v>44</v>
      </c>
      <c r="J399" s="3">
        <v>55</v>
      </c>
      <c r="K399" s="3">
        <v>51</v>
      </c>
      <c r="L399" s="3">
        <v>6</v>
      </c>
      <c r="M399" s="3" t="s">
        <v>453</v>
      </c>
    </row>
    <row r="400" spans="1:13" x14ac:dyDescent="0.3">
      <c r="A400" s="3">
        <v>399</v>
      </c>
      <c r="B400" s="3" t="s">
        <v>428</v>
      </c>
      <c r="C400" s="3" t="s">
        <v>79</v>
      </c>
      <c r="D400" s="3" t="s">
        <v>13</v>
      </c>
      <c r="E400" s="3">
        <v>335</v>
      </c>
      <c r="F400" s="3">
        <v>44</v>
      </c>
      <c r="G400" s="3">
        <v>66</v>
      </c>
      <c r="H400" s="3">
        <v>70</v>
      </c>
      <c r="I400" s="3">
        <v>44</v>
      </c>
      <c r="J400" s="3">
        <v>55</v>
      </c>
      <c r="K400" s="3">
        <v>56</v>
      </c>
      <c r="L400" s="3">
        <v>6</v>
      </c>
      <c r="M400" s="3" t="s">
        <v>453</v>
      </c>
    </row>
    <row r="401" spans="1:13" x14ac:dyDescent="0.3">
      <c r="A401" s="3">
        <v>400</v>
      </c>
      <c r="B401" s="3" t="s">
        <v>429</v>
      </c>
      <c r="C401" s="3" t="s">
        <v>79</v>
      </c>
      <c r="D401" s="3" t="s">
        <v>13</v>
      </c>
      <c r="E401" s="3">
        <v>335</v>
      </c>
      <c r="F401" s="3">
        <v>54</v>
      </c>
      <c r="G401" s="3">
        <v>66</v>
      </c>
      <c r="H401" s="3">
        <v>70</v>
      </c>
      <c r="I401" s="3">
        <v>44</v>
      </c>
      <c r="J401" s="3">
        <v>55</v>
      </c>
      <c r="K401" s="3">
        <v>46</v>
      </c>
      <c r="L401" s="3">
        <v>6</v>
      </c>
      <c r="M401" s="3" t="s">
        <v>453</v>
      </c>
    </row>
    <row r="402" spans="1:13" x14ac:dyDescent="0.3">
      <c r="A402" s="3">
        <v>401</v>
      </c>
      <c r="B402" s="3" t="s">
        <v>430</v>
      </c>
      <c r="C402" s="3" t="s">
        <v>79</v>
      </c>
      <c r="D402" s="3" t="s">
        <v>13</v>
      </c>
      <c r="E402" s="3">
        <v>335</v>
      </c>
      <c r="F402" s="3">
        <v>59</v>
      </c>
      <c r="G402" s="3">
        <v>66</v>
      </c>
      <c r="H402" s="3">
        <v>70</v>
      </c>
      <c r="I402" s="3">
        <v>44</v>
      </c>
      <c r="J402" s="3">
        <v>55</v>
      </c>
      <c r="K402" s="3">
        <v>41</v>
      </c>
      <c r="L402" s="3">
        <v>6</v>
      </c>
      <c r="M402" s="3" t="s">
        <v>453</v>
      </c>
    </row>
    <row r="403" spans="1:13" x14ac:dyDescent="0.3">
      <c r="A403" s="3">
        <v>402</v>
      </c>
      <c r="B403" s="3" t="s">
        <v>431</v>
      </c>
      <c r="C403" s="3" t="s">
        <v>79</v>
      </c>
      <c r="D403" s="3" t="s">
        <v>13</v>
      </c>
      <c r="E403" s="3">
        <v>494</v>
      </c>
      <c r="F403" s="3">
        <v>65</v>
      </c>
      <c r="G403" s="3">
        <v>90</v>
      </c>
      <c r="H403" s="3">
        <v>122</v>
      </c>
      <c r="I403" s="3">
        <v>58</v>
      </c>
      <c r="J403" s="3">
        <v>75</v>
      </c>
      <c r="K403" s="3">
        <v>84</v>
      </c>
      <c r="L403" s="3">
        <v>6</v>
      </c>
      <c r="M403" s="3" t="s">
        <v>453</v>
      </c>
    </row>
    <row r="404" spans="1:13" x14ac:dyDescent="0.3">
      <c r="A404" s="3">
        <v>403</v>
      </c>
      <c r="B404" s="3" t="s">
        <v>432</v>
      </c>
      <c r="C404" s="3" t="s">
        <v>79</v>
      </c>
      <c r="D404" s="3" t="s">
        <v>13</v>
      </c>
      <c r="E404" s="3">
        <v>494</v>
      </c>
      <c r="F404" s="3">
        <v>55</v>
      </c>
      <c r="G404" s="3">
        <v>85</v>
      </c>
      <c r="H404" s="3">
        <v>122</v>
      </c>
      <c r="I404" s="3">
        <v>58</v>
      </c>
      <c r="J404" s="3">
        <v>75</v>
      </c>
      <c r="K404" s="3">
        <v>99</v>
      </c>
      <c r="L404" s="3">
        <v>6</v>
      </c>
      <c r="M404" s="3" t="s">
        <v>453</v>
      </c>
    </row>
    <row r="405" spans="1:13" x14ac:dyDescent="0.3">
      <c r="A405" s="3">
        <v>404</v>
      </c>
      <c r="B405" s="3" t="s">
        <v>433</v>
      </c>
      <c r="C405" s="3" t="s">
        <v>79</v>
      </c>
      <c r="D405" s="3" t="s">
        <v>13</v>
      </c>
      <c r="E405" s="3">
        <v>494</v>
      </c>
      <c r="F405" s="3">
        <v>75</v>
      </c>
      <c r="G405" s="3">
        <v>95</v>
      </c>
      <c r="H405" s="3">
        <v>122</v>
      </c>
      <c r="I405" s="3">
        <v>58</v>
      </c>
      <c r="J405" s="3">
        <v>75</v>
      </c>
      <c r="K405" s="3">
        <v>69</v>
      </c>
      <c r="L405" s="3">
        <v>6</v>
      </c>
      <c r="M405" s="3" t="s">
        <v>453</v>
      </c>
    </row>
    <row r="406" spans="1:13" x14ac:dyDescent="0.3">
      <c r="A406" s="3">
        <v>405</v>
      </c>
      <c r="B406" s="3" t="s">
        <v>434</v>
      </c>
      <c r="C406" s="3" t="s">
        <v>79</v>
      </c>
      <c r="D406" s="3" t="s">
        <v>13</v>
      </c>
      <c r="E406" s="3">
        <v>494</v>
      </c>
      <c r="F406" s="3">
        <v>85</v>
      </c>
      <c r="G406" s="3">
        <v>100</v>
      </c>
      <c r="H406" s="3">
        <v>122</v>
      </c>
      <c r="I406" s="3">
        <v>58</v>
      </c>
      <c r="J406" s="3">
        <v>75</v>
      </c>
      <c r="K406" s="3">
        <v>54</v>
      </c>
      <c r="L406" s="3">
        <v>6</v>
      </c>
      <c r="M406" s="3" t="s">
        <v>453</v>
      </c>
    </row>
    <row r="407" spans="1:13" x14ac:dyDescent="0.3">
      <c r="A407" s="3">
        <v>406</v>
      </c>
      <c r="B407" s="3" t="s">
        <v>435</v>
      </c>
      <c r="C407" s="3" t="s">
        <v>20</v>
      </c>
      <c r="D407" s="3" t="s">
        <v>22</v>
      </c>
      <c r="E407" s="3">
        <v>245</v>
      </c>
      <c r="F407" s="3">
        <v>40</v>
      </c>
      <c r="G407" s="3">
        <v>30</v>
      </c>
      <c r="H407" s="3">
        <v>35</v>
      </c>
      <c r="I407" s="3">
        <v>45</v>
      </c>
      <c r="J407" s="3">
        <v>40</v>
      </c>
      <c r="K407" s="3">
        <v>55</v>
      </c>
      <c r="L407" s="3">
        <v>6</v>
      </c>
      <c r="M407" s="3" t="s">
        <v>453</v>
      </c>
    </row>
    <row r="408" spans="1:13" x14ac:dyDescent="0.3">
      <c r="A408" s="3">
        <v>407</v>
      </c>
      <c r="B408" s="3" t="s">
        <v>436</v>
      </c>
      <c r="C408" s="3" t="s">
        <v>20</v>
      </c>
      <c r="D408" s="3" t="s">
        <v>22</v>
      </c>
      <c r="E408" s="3">
        <v>535</v>
      </c>
      <c r="F408" s="3">
        <v>85</v>
      </c>
      <c r="G408" s="3">
        <v>70</v>
      </c>
      <c r="H408" s="3">
        <v>80</v>
      </c>
      <c r="I408" s="3">
        <v>97</v>
      </c>
      <c r="J408" s="3">
        <v>80</v>
      </c>
      <c r="K408" s="3">
        <v>123</v>
      </c>
      <c r="L408" s="3">
        <v>6</v>
      </c>
      <c r="M408" s="3" t="s">
        <v>453</v>
      </c>
    </row>
    <row r="409" spans="1:13" x14ac:dyDescent="0.3">
      <c r="A409" s="3">
        <v>408</v>
      </c>
      <c r="B409" s="3" t="s">
        <v>437</v>
      </c>
      <c r="C409" s="3" t="s">
        <v>95</v>
      </c>
      <c r="D409" s="3" t="s">
        <v>20</v>
      </c>
      <c r="E409" s="3">
        <v>680</v>
      </c>
      <c r="F409" s="3">
        <v>126</v>
      </c>
      <c r="G409" s="3">
        <v>131</v>
      </c>
      <c r="H409" s="3">
        <v>95</v>
      </c>
      <c r="I409" s="3">
        <v>131</v>
      </c>
      <c r="J409" s="3">
        <v>98</v>
      </c>
      <c r="K409" s="3">
        <v>99</v>
      </c>
      <c r="L409" s="3">
        <v>6</v>
      </c>
      <c r="M409" s="3" t="s">
        <v>451</v>
      </c>
    </row>
    <row r="410" spans="1:13" x14ac:dyDescent="0.3">
      <c r="A410" s="3">
        <v>409</v>
      </c>
      <c r="B410" s="3" t="s">
        <v>438</v>
      </c>
      <c r="C410" s="3" t="s">
        <v>22</v>
      </c>
      <c r="D410" s="3" t="s">
        <v>38</v>
      </c>
      <c r="E410" s="3">
        <v>600</v>
      </c>
      <c r="F410" s="3">
        <v>108</v>
      </c>
      <c r="G410" s="3">
        <v>100</v>
      </c>
      <c r="H410" s="3">
        <v>121</v>
      </c>
      <c r="I410" s="3">
        <v>81</v>
      </c>
      <c r="J410" s="3">
        <v>95</v>
      </c>
      <c r="K410" s="3">
        <v>95</v>
      </c>
      <c r="L410" s="3">
        <v>6</v>
      </c>
      <c r="M410" s="3" t="s">
        <v>451</v>
      </c>
    </row>
    <row r="411" spans="1:13" x14ac:dyDescent="0.3">
      <c r="A411" s="3">
        <v>410</v>
      </c>
      <c r="B411" s="3" t="s">
        <v>439</v>
      </c>
      <c r="C411" s="3" t="s">
        <v>61</v>
      </c>
      <c r="D411" s="3" t="s">
        <v>41</v>
      </c>
      <c r="E411" s="3">
        <v>600</v>
      </c>
      <c r="F411" s="3">
        <v>50</v>
      </c>
      <c r="G411" s="3">
        <v>100</v>
      </c>
      <c r="H411" s="3">
        <v>150</v>
      </c>
      <c r="I411" s="3">
        <v>100</v>
      </c>
      <c r="J411" s="3">
        <v>150</v>
      </c>
      <c r="K411" s="3">
        <v>50</v>
      </c>
      <c r="L411" s="3">
        <v>6</v>
      </c>
      <c r="M411" s="3" t="s">
        <v>451</v>
      </c>
    </row>
    <row r="412" spans="1:13" x14ac:dyDescent="0.3">
      <c r="A412" s="3">
        <v>411</v>
      </c>
      <c r="B412" s="3" t="s">
        <v>440</v>
      </c>
      <c r="C412" s="3" t="s">
        <v>61</v>
      </c>
      <c r="D412" s="3" t="s">
        <v>41</v>
      </c>
      <c r="E412" s="3">
        <v>700</v>
      </c>
      <c r="F412" s="3">
        <v>50</v>
      </c>
      <c r="G412" s="3">
        <v>160</v>
      </c>
      <c r="H412" s="3">
        <v>110</v>
      </c>
      <c r="I412" s="3">
        <v>160</v>
      </c>
      <c r="J412" s="3">
        <v>110</v>
      </c>
      <c r="K412" s="3">
        <v>110</v>
      </c>
      <c r="L412" s="3">
        <v>6</v>
      </c>
      <c r="M412" s="3" t="s">
        <v>451</v>
      </c>
    </row>
    <row r="413" spans="1:13" x14ac:dyDescent="0.3">
      <c r="A413" s="3">
        <v>412</v>
      </c>
      <c r="B413" s="3" t="s">
        <v>441</v>
      </c>
      <c r="C413" s="3" t="s">
        <v>65</v>
      </c>
      <c r="D413" s="3" t="s">
        <v>79</v>
      </c>
      <c r="E413" s="3">
        <v>600</v>
      </c>
      <c r="F413" s="3">
        <v>80</v>
      </c>
      <c r="G413" s="3">
        <v>110</v>
      </c>
      <c r="H413" s="3">
        <v>60</v>
      </c>
      <c r="I413" s="3">
        <v>150</v>
      </c>
      <c r="J413" s="3">
        <v>130</v>
      </c>
      <c r="K413" s="3">
        <v>70</v>
      </c>
      <c r="L413" s="3">
        <v>6</v>
      </c>
      <c r="M413" s="3" t="s">
        <v>451</v>
      </c>
    </row>
    <row r="414" spans="1:13" x14ac:dyDescent="0.3">
      <c r="A414" s="3">
        <v>413</v>
      </c>
      <c r="B414" s="3" t="s">
        <v>442</v>
      </c>
      <c r="C414" s="3" t="s">
        <v>65</v>
      </c>
      <c r="D414" s="3" t="s">
        <v>95</v>
      </c>
      <c r="E414" s="3">
        <v>680</v>
      </c>
      <c r="F414" s="3">
        <v>80</v>
      </c>
      <c r="G414" s="3">
        <v>160</v>
      </c>
      <c r="H414" s="3">
        <v>60</v>
      </c>
      <c r="I414" s="3">
        <v>170</v>
      </c>
      <c r="J414" s="3">
        <v>130</v>
      </c>
      <c r="K414" s="3">
        <v>80</v>
      </c>
      <c r="L414" s="3">
        <v>6</v>
      </c>
      <c r="M414" s="3" t="s">
        <v>451</v>
      </c>
    </row>
    <row r="415" spans="1:13" x14ac:dyDescent="0.3">
      <c r="A415" s="3">
        <v>414</v>
      </c>
      <c r="B415" s="3" t="s">
        <v>443</v>
      </c>
      <c r="C415" s="3" t="s">
        <v>19</v>
      </c>
      <c r="D415" s="3" t="s">
        <v>53</v>
      </c>
      <c r="E415" s="3">
        <v>600</v>
      </c>
      <c r="F415" s="3">
        <v>80</v>
      </c>
      <c r="G415" s="3">
        <v>110</v>
      </c>
      <c r="H415" s="3">
        <v>120</v>
      </c>
      <c r="I415" s="3">
        <v>130</v>
      </c>
      <c r="J415" s="3">
        <v>90</v>
      </c>
      <c r="K415" s="3">
        <v>70</v>
      </c>
      <c r="L415" s="3">
        <v>6</v>
      </c>
      <c r="M415" s="3"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count</vt:lpstr>
      <vt:lpstr>average</vt:lpstr>
      <vt:lpstr>Dashb</vt:lpstr>
      <vt:lpstr>pokemon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KUMAR</dc:creator>
  <cp:lastModifiedBy>ARYAN KUMAR</cp:lastModifiedBy>
  <dcterms:created xsi:type="dcterms:W3CDTF">2025-12-07T14:39:34Z</dcterms:created>
  <dcterms:modified xsi:type="dcterms:W3CDTF">2026-05-27T14:05:00Z</dcterms:modified>
</cp:coreProperties>
</file>